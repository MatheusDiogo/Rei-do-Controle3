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grau" sheetId="1" r:id="rId5"/>
    <sheet state="hidden" name="__OpenSolverCache__" sheetId="2" r:id="rId6"/>
    <sheet state="hidden" name="__OpenSolver__" sheetId="3" r:id="rId7"/>
  </sheets>
  <definedNames>
    <definedName localSheetId="0" name="solver_rhs5">Degrau!$I$26</definedName>
    <definedName localSheetId="0" name="solver_lhs1">Degrau!$C$10:$E$10</definedName>
    <definedName localSheetId="0" name="solver_lhs4">Degrau!$D$11:$E$11</definedName>
    <definedName localSheetId="0" name="solver_lhs10">Degrau!$J$9</definedName>
    <definedName localSheetId="0" name="solver_lhs9">Degrau!$J$13</definedName>
    <definedName localSheetId="0" name="solver_lhs3">Degrau!$D$11:$E$11</definedName>
    <definedName localSheetId="0" name="solver_rhs10">Degrau!$L$1</definedName>
    <definedName localSheetId="0" name="solver_rhs3">Degrau!$G$27</definedName>
    <definedName localSheetId="0" name="solver_opt">Degrau!$C$26</definedName>
    <definedName localSheetId="0" name="solver_lhs2">Degrau!$C$10:$E$10</definedName>
    <definedName localSheetId="0" name="solver_rhs7">Degrau!$L$1</definedName>
    <definedName localSheetId="0" name="solver_rhs8">Degrau!$L$1</definedName>
    <definedName localSheetId="0" name="solver_lhs6">Degrau!$J$10</definedName>
    <definedName localSheetId="0" name="solver_rhs6">Degrau!$L$1</definedName>
    <definedName localSheetId="0" name="solver_lhs5">Degrau!$I$27</definedName>
    <definedName localSheetId="0" name="solver_rhs9">Degrau!$L$1</definedName>
    <definedName localSheetId="0" name="solver_lhs7">Degrau!$J$11</definedName>
    <definedName localSheetId="0" name="solver_rhs1">Degrau!$G$27</definedName>
    <definedName localSheetId="0" name="solver_lhs8">Degrau!$J$12</definedName>
  </definedNames>
  <calcPr/>
</workbook>
</file>

<file path=xl/sharedStrings.xml><?xml version="1.0" encoding="utf-8"?>
<sst xmlns="http://schemas.openxmlformats.org/spreadsheetml/2006/main" count="84" uniqueCount="84">
  <si>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</si>
  <si>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</si>
  <si>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</si>
  <si>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t>Ts(ms)</t>
  </si>
  <si>
    <t>Tf(s)</t>
  </si>
  <si>
    <t>JURI</t>
  </si>
  <si>
    <t>delta</t>
  </si>
  <si>
    <r>
      <rPr>
        <rFont val="Calibri"/>
        <b/>
        <color theme="1"/>
        <sz val="11.0"/>
      </rPr>
      <t>b</t>
    </r>
    <r>
      <rPr>
        <rFont val="Calibri"/>
        <b/>
        <color theme="1"/>
        <sz val="11.0"/>
        <vertAlign val="subscript"/>
      </rPr>
      <t>o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</si>
  <si>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11.0"/>
        <vertAlign val="subscript"/>
      </rPr>
      <t>1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</si>
  <si>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11.0"/>
        <vertAlign val="subscript"/>
      </rPr>
      <t>2</t>
    </r>
  </si>
  <si>
    <t>G(z)</t>
  </si>
  <si>
    <t>a0</t>
  </si>
  <si>
    <t>b0</t>
  </si>
  <si>
    <t>c0</t>
  </si>
  <si>
    <t>a1</t>
  </si>
  <si>
    <t>b1</t>
  </si>
  <si>
    <t>c1</t>
  </si>
  <si>
    <r>
      <rPr>
        <rFont val="Calibri"/>
        <b/>
        <color theme="1"/>
        <sz val="11.0"/>
      </rPr>
      <t>a</t>
    </r>
    <r>
      <rPr>
        <rFont val="Calibri"/>
        <b/>
        <color theme="1"/>
        <sz val="11.0"/>
        <vertAlign val="subscript"/>
      </rPr>
      <t>1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</si>
  <si>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11.0"/>
        <vertAlign val="subscript"/>
      </rPr>
      <t>2</t>
    </r>
  </si>
  <si>
    <t>a2</t>
  </si>
  <si>
    <t>b2</t>
  </si>
  <si>
    <t>c2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</si>
  <si>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</si>
  <si>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</si>
  <si>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</si>
  <si>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t>a3</t>
  </si>
  <si>
    <t>b3</t>
  </si>
  <si>
    <t>a4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</si>
  <si>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</si>
  <si>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</si>
  <si>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</si>
  <si>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11.0"/>
        <vertAlign val="subscript"/>
      </rPr>
      <t>o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</si>
  <si>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11.0"/>
        <vertAlign val="subscript"/>
      </rPr>
      <t>1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</si>
  <si>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11.0"/>
        <vertAlign val="subscript"/>
      </rPr>
      <t>2</t>
    </r>
  </si>
  <si>
    <t>a0-|a4|</t>
  </si>
  <si>
    <t>Gc(z)</t>
  </si>
  <si>
    <t>Num(1)</t>
  </si>
  <si>
    <t>P(1)</t>
  </si>
  <si>
    <t>Den(1)</t>
  </si>
  <si>
    <t>P(-1)</t>
  </si>
  <si>
    <r>
      <rPr>
        <rFont val="Calibri"/>
        <b/>
        <color theme="1"/>
        <sz val="11.0"/>
      </rPr>
      <t>a</t>
    </r>
    <r>
      <rPr>
        <rFont val="Calibri"/>
        <b/>
        <color theme="1"/>
        <sz val="11.0"/>
        <vertAlign val="subscript"/>
      </rPr>
      <t>1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</si>
  <si>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11.0"/>
        <vertAlign val="subscript"/>
      </rPr>
      <t>2</t>
    </r>
  </si>
  <si>
    <t>Gcz(1)</t>
  </si>
  <si>
    <t>|b3|-|b0|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</si>
  <si>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</si>
  <si>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</si>
  <si>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</si>
  <si>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t>|c2|-|c0|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</si>
  <si>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4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</si>
  <si>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3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</si>
  <si>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</si>
  <si>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</si>
  <si>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</si>
  <si>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t>G(z)*Gc(z)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</si>
  <si>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4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</si>
  <si>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3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</si>
  <si>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</si>
  <si>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</si>
  <si>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</si>
  <si>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t>T(z)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</si>
  <si>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4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</si>
  <si>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3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</si>
  <si>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</si>
  <si>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</si>
  <si>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</si>
  <si>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t>T(z)/G(z)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</si>
  <si>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4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</si>
  <si>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3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</si>
  <si>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</si>
  <si>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</si>
  <si>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perscript"/>
      </rPr>
      <t>0</t>
    </r>
  </si>
  <si>
    <t>ISE TIA</t>
  </si>
  <si>
    <t>Valor mínimo de coeficiente</t>
  </si>
  <si>
    <t>Máx U limite</t>
  </si>
  <si>
    <t>Valor máximo de coeficiente</t>
  </si>
  <si>
    <t>Máx U real</t>
  </si>
  <si>
    <t>t[s]</t>
  </si>
  <si>
    <t>k</t>
  </si>
  <si>
    <t>R(k)</t>
  </si>
  <si>
    <t>yd(k)</t>
  </si>
  <si>
    <t>Yest(k)</t>
  </si>
  <si>
    <t>u(k)</t>
  </si>
  <si>
    <t>abs(u)</t>
  </si>
  <si>
    <t>Erro^2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</si>
</sst>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0.00000"/>
    <numFmt numFmtId="166" formatCode="0.000000"/>
    <numFmt numFmtId="167" formatCode="#,##0.0000000"/>
    <numFmt numFmtId="168" formatCode="0.000"/>
    <numFmt numFmtId="169" formatCode="0.0000"/>
    <numFmt numFmtId="170" formatCode="0.0000E+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1" fillId="0" fontId="2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/>
    </xf>
    <xf borderId="3" fillId="3" fontId="3" numFmtId="0" xfId="0" applyAlignment="1" applyBorder="1" applyFill="1" applyFont="1">
      <alignment horizontal="center"/>
    </xf>
    <xf borderId="4" fillId="0" fontId="4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5" numFmtId="0" xfId="0" applyFont="1"/>
    <xf borderId="7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8" fillId="0" fontId="2" numFmtId="0" xfId="0" applyBorder="1" applyFont="1"/>
    <xf borderId="0" fillId="0" fontId="2" numFmtId="0" xfId="0" applyFont="1"/>
    <xf borderId="9" fillId="0" fontId="2" numFmtId="0" xfId="0" applyBorder="1" applyFont="1"/>
    <xf borderId="4" fillId="4" fontId="5" numFmtId="0" xfId="0" applyAlignment="1" applyBorder="1" applyFill="1" applyFont="1">
      <alignment horizontal="center" vertical="center"/>
    </xf>
    <xf borderId="6" fillId="0" fontId="6" numFmtId="0" xfId="0" applyBorder="1" applyFont="1"/>
    <xf borderId="10" fillId="0" fontId="2" numFmtId="165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166" xfId="0" applyAlignment="1" applyBorder="1" applyFont="1" applyNumberFormat="1">
      <alignment horizontal="center"/>
    </xf>
    <xf borderId="11" fillId="0" fontId="6" numFmtId="0" xfId="0" applyBorder="1" applyFont="1"/>
    <xf borderId="12" fillId="0" fontId="6" numFmtId="0" xfId="0" applyBorder="1" applyFont="1"/>
    <xf borderId="13" fillId="5" fontId="2" numFmtId="0" xfId="0" applyAlignment="1" applyBorder="1" applyFill="1" applyFont="1">
      <alignment horizontal="center"/>
    </xf>
    <xf borderId="14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" fillId="0" fontId="2" numFmtId="166" xfId="0" applyBorder="1" applyFont="1" applyNumberFormat="1"/>
    <xf borderId="16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166" xfId="0" applyFont="1" applyNumberFormat="1"/>
    <xf borderId="4" fillId="6" fontId="5" numFmtId="0" xfId="0" applyAlignment="1" applyBorder="1" applyFill="1" applyFont="1">
      <alignment horizontal="center" vertical="center"/>
    </xf>
    <xf borderId="10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right"/>
    </xf>
    <xf borderId="8" fillId="0" fontId="2" numFmtId="0" xfId="0" applyAlignment="1" applyBorder="1" applyFont="1">
      <alignment horizontal="center"/>
    </xf>
    <xf borderId="13" fillId="7" fontId="2" numFmtId="0" xfId="0" applyAlignment="1" applyBorder="1" applyFill="1" applyFont="1">
      <alignment horizontal="center"/>
    </xf>
    <xf borderId="0" fillId="0" fontId="2" numFmtId="165" xfId="0" applyFont="1" applyNumberFormat="1"/>
    <xf borderId="11" fillId="0" fontId="2" numFmtId="0" xfId="0" applyBorder="1" applyFont="1"/>
    <xf borderId="17" fillId="0" fontId="2" numFmtId="166" xfId="0" applyBorder="1" applyFont="1" applyNumberFormat="1"/>
    <xf borderId="17" fillId="0" fontId="2" numFmtId="0" xfId="0" applyBorder="1" applyFont="1"/>
    <xf borderId="12" fillId="0" fontId="2" numFmtId="0" xfId="0" applyBorder="1" applyFont="1"/>
    <xf borderId="4" fillId="8" fontId="5" numFmtId="0" xfId="0" applyAlignment="1" applyBorder="1" applyFill="1" applyFont="1">
      <alignment horizontal="center" vertical="center"/>
    </xf>
    <xf borderId="18" fillId="0" fontId="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" fillId="0" fontId="2" numFmtId="167" xfId="0" applyAlignment="1" applyBorder="1" applyFont="1" applyNumberFormat="1">
      <alignment horizontal="center"/>
    </xf>
    <xf borderId="4" fillId="9" fontId="5" numFmtId="0" xfId="0" applyAlignment="1" applyBorder="1" applyFill="1" applyFont="1">
      <alignment horizontal="center" vertical="center"/>
    </xf>
    <xf borderId="18" fillId="0" fontId="3" numFmtId="0" xfId="0" applyAlignment="1" applyBorder="1" applyFont="1">
      <alignment horizontal="center"/>
    </xf>
    <xf borderId="1" fillId="0" fontId="3" numFmtId="167" xfId="0" applyAlignment="1" applyBorder="1" applyFont="1" applyNumberFormat="1">
      <alignment horizontal="center"/>
    </xf>
    <xf borderId="4" fillId="10" fontId="5" numFmtId="0" xfId="0" applyAlignment="1" applyBorder="1" applyFill="1" applyFont="1">
      <alignment horizontal="center" vertical="center"/>
    </xf>
    <xf borderId="19" fillId="11" fontId="7" numFmtId="0" xfId="0" applyAlignment="1" applyBorder="1" applyFill="1" applyFont="1">
      <alignment horizontal="center" vertical="center"/>
    </xf>
    <xf borderId="20" fillId="0" fontId="6" numFmtId="0" xfId="0" applyBorder="1" applyFont="1"/>
    <xf borderId="7" fillId="0" fontId="7" numFmtId="164" xfId="0" applyAlignment="1" applyBorder="1" applyFont="1" applyNumberFormat="1">
      <alignment horizontal="center" vertical="center"/>
    </xf>
    <xf borderId="16" fillId="12" fontId="2" numFmtId="0" xfId="0" applyAlignment="1" applyBorder="1" applyFill="1" applyFont="1">
      <alignment horizontal="right" vertical="center"/>
    </xf>
    <xf borderId="21" fillId="0" fontId="6" numFmtId="0" xfId="0" applyBorder="1" applyFont="1"/>
    <xf borderId="18" fillId="0" fontId="6" numFmtId="0" xfId="0" applyBorder="1" applyFont="1"/>
    <xf borderId="16" fillId="0" fontId="2" numFmtId="0" xfId="0" applyAlignment="1" applyBorder="1" applyFont="1">
      <alignment horizontal="center" vertical="center"/>
    </xf>
    <xf borderId="1" fillId="13" fontId="2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2" fillId="0" fontId="6" numFmtId="0" xfId="0" applyBorder="1" applyFont="1"/>
    <xf borderId="23" fillId="0" fontId="6" numFmtId="0" xfId="0" applyBorder="1" applyFont="1"/>
    <xf borderId="14" fillId="0" fontId="7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168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9" xfId="0" applyAlignment="1" applyBorder="1" applyFont="1" applyNumberFormat="1">
      <alignment horizontal="center"/>
    </xf>
    <xf borderId="1" fillId="0" fontId="8" numFmtId="164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/>
    </xf>
    <xf borderId="1" fillId="0" fontId="2" numFmtId="170" xfId="0" applyAlignment="1" applyBorder="1" applyFont="1" applyNumberFormat="1">
      <alignment horizontal="center"/>
    </xf>
    <xf borderId="0" fillId="0" fontId="2" numFmtId="3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Degrau!$A$34:$A$74</c:f>
            </c:numRef>
          </c:xVal>
          <c:yVal>
            <c:numRef>
              <c:f>Degrau!$D$34:$D$74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Degrau!$A$34:$A$74</c:f>
            </c:numRef>
          </c:xVal>
          <c:yVal>
            <c:numRef>
              <c:f>Degrau!$E$34:$E$74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36559"/>
        <c:axId val="1267213111"/>
      </c:scatterChart>
      <c:valAx>
        <c:axId val="305436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7213111"/>
      </c:valAx>
      <c:valAx>
        <c:axId val="1267213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543655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Degrau!$A$34:$A$74</c:f>
            </c:numRef>
          </c:xVal>
          <c:yVal>
            <c:numRef>
              <c:f>Degrau!$F$34:$F$74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679707"/>
        <c:axId val="1664438962"/>
      </c:scatterChart>
      <c:valAx>
        <c:axId val="1951679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4438962"/>
      </c:valAx>
      <c:valAx>
        <c:axId val="1664438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167970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28</xdr:row>
      <xdr:rowOff>104775</xdr:rowOff>
    </xdr:from>
    <xdr:ext cx="7248525" cy="4533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55</xdr:row>
      <xdr:rowOff>66675</xdr:rowOff>
    </xdr:from>
    <xdr:ext cx="7229475" cy="45339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5" width="12.71"/>
    <col customWidth="1" min="6" max="6" width="15.0"/>
    <col customWidth="1" min="7" max="7" width="12.71"/>
    <col customWidth="1" min="8" max="8" width="14.14"/>
    <col customWidth="1" min="9" max="12" width="9.14"/>
    <col customWidth="1" min="13" max="13" width="10.29"/>
    <col customWidth="1" min="14" max="14" width="9.14"/>
    <col customWidth="1" min="15" max="15" width="10.86"/>
    <col customWidth="1" min="16" max="16" width="9.14"/>
  </cols>
  <sheetData>
    <row r="1" ht="14.25" customHeight="1">
      <c r="C1" s="3" t="s">
        <v>0</v>
      </c>
      <c r="D1" s="3" t="s">
        <v>1</v>
      </c>
      <c r="E1" s="3" t="s">
        <v>2</v>
      </c>
      <c r="G1" s="4" t="s">
        <v>3</v>
      </c>
      <c r="H1" s="5" t="s">
        <v>4</v>
      </c>
      <c r="I1" s="6" t="s">
        <v>5</v>
      </c>
      <c r="J1" s="7"/>
      <c r="K1" s="7" t="s">
        <v>6</v>
      </c>
      <c r="L1" s="7">
        <v>1.0E-5</v>
      </c>
      <c r="M1" s="7"/>
      <c r="N1" s="7"/>
      <c r="O1" s="7"/>
      <c r="P1" s="8"/>
    </row>
    <row r="2" ht="18.0" customHeight="1">
      <c r="B2" s="9"/>
      <c r="C2" s="10" t="s">
        <v>7</v>
      </c>
      <c r="D2" s="10" t="s">
        <v>8</v>
      </c>
      <c r="E2" s="10" t="s">
        <v>9</v>
      </c>
      <c r="G2" s="11">
        <v>100.0</v>
      </c>
      <c r="H2" s="12">
        <v>4.0</v>
      </c>
      <c r="I2" s="13"/>
      <c r="J2" s="14"/>
      <c r="K2" s="14"/>
      <c r="L2" s="14"/>
      <c r="M2" s="14"/>
      <c r="N2" s="14"/>
      <c r="O2" s="14"/>
      <c r="P2" s="15"/>
    </row>
    <row r="3" ht="15.0" customHeight="1">
      <c r="A3" s="16" t="s">
        <v>10</v>
      </c>
      <c r="B3" s="17"/>
      <c r="C3" s="18">
        <v>0.5</v>
      </c>
      <c r="D3" s="18">
        <v>0.5</v>
      </c>
      <c r="E3" s="18">
        <v>0.5</v>
      </c>
      <c r="I3" s="19" t="s">
        <v>11</v>
      </c>
      <c r="J3" s="20">
        <f>C20</f>
        <v>1</v>
      </c>
      <c r="K3" s="14"/>
      <c r="L3" s="19" t="s">
        <v>12</v>
      </c>
      <c r="M3" s="19">
        <f>J7*J4-J6*J3</f>
        <v>0</v>
      </c>
      <c r="N3" s="14"/>
      <c r="O3" s="19" t="s">
        <v>13</v>
      </c>
      <c r="P3" s="19">
        <f>M6*M4-M3*M5</f>
        <v>0.5</v>
      </c>
    </row>
    <row r="4" ht="15.0" customHeight="1">
      <c r="A4" s="21"/>
      <c r="B4" s="22"/>
      <c r="C4" s="23">
        <v>1.0</v>
      </c>
      <c r="D4" s="18">
        <v>0.5</v>
      </c>
      <c r="E4" s="18">
        <v>0.5</v>
      </c>
      <c r="I4" s="19" t="s">
        <v>14</v>
      </c>
      <c r="J4" s="20">
        <f>D20</f>
        <v>0.5</v>
      </c>
      <c r="K4" s="14"/>
      <c r="L4" s="19" t="s">
        <v>15</v>
      </c>
      <c r="M4" s="19">
        <f>J7*J5-J3*J5</f>
        <v>-0.5</v>
      </c>
      <c r="N4" s="14"/>
      <c r="O4" s="19" t="s">
        <v>16</v>
      </c>
      <c r="P4" s="19">
        <f>M6*M5-M3*M4</f>
        <v>0.5</v>
      </c>
    </row>
    <row r="5" ht="14.25" customHeight="1">
      <c r="C5" s="24">
        <v>1.0</v>
      </c>
      <c r="D5" s="24" t="s">
        <v>17</v>
      </c>
      <c r="E5" s="25" t="s">
        <v>18</v>
      </c>
      <c r="I5" s="19" t="s">
        <v>19</v>
      </c>
      <c r="J5" s="20">
        <f>E20</f>
        <v>0.5</v>
      </c>
      <c r="K5" s="14"/>
      <c r="L5" s="19" t="s">
        <v>20</v>
      </c>
      <c r="M5" s="19">
        <f>J7*J6-J3*J4</f>
        <v>-0.5</v>
      </c>
      <c r="N5" s="14"/>
      <c r="O5" s="19" t="s">
        <v>21</v>
      </c>
      <c r="P5" s="26">
        <f>M6^2-M3^2</f>
        <v>1</v>
      </c>
    </row>
    <row r="6" ht="14.25" customHeight="1">
      <c r="C6" s="3" t="s">
        <v>22</v>
      </c>
      <c r="D6" s="3" t="s">
        <v>23</v>
      </c>
      <c r="E6" s="27" t="s">
        <v>24</v>
      </c>
      <c r="I6" s="19" t="s">
        <v>25</v>
      </c>
      <c r="J6" s="20">
        <f>F20</f>
        <v>0</v>
      </c>
      <c r="K6" s="14"/>
      <c r="L6" s="19" t="s">
        <v>26</v>
      </c>
      <c r="M6" s="26">
        <f>J7^2-J3^2</f>
        <v>-1</v>
      </c>
      <c r="N6" s="14"/>
      <c r="O6" s="14"/>
      <c r="P6" s="15"/>
    </row>
    <row r="7" ht="14.25" customHeight="1">
      <c r="C7" s="28"/>
      <c r="D7" s="28"/>
      <c r="E7" s="28"/>
      <c r="I7" s="19" t="s">
        <v>27</v>
      </c>
      <c r="J7" s="20">
        <f>G20</f>
        <v>0</v>
      </c>
      <c r="K7" s="14"/>
      <c r="L7" s="14"/>
      <c r="M7" s="14"/>
      <c r="N7" s="14"/>
      <c r="O7" s="14"/>
      <c r="P7" s="15"/>
    </row>
    <row r="8" ht="14.25" customHeight="1">
      <c r="C8" s="3" t="s">
        <v>28</v>
      </c>
      <c r="D8" s="3" t="s">
        <v>29</v>
      </c>
      <c r="E8" s="27" t="s">
        <v>30</v>
      </c>
      <c r="I8" s="13"/>
      <c r="J8" s="14"/>
      <c r="K8" s="14"/>
      <c r="L8" s="14"/>
      <c r="M8" s="14"/>
      <c r="N8" s="14"/>
      <c r="O8" s="14"/>
      <c r="P8" s="15"/>
    </row>
    <row r="9" ht="14.25" customHeight="1">
      <c r="A9" s="14"/>
      <c r="B9" s="14"/>
      <c r="C9" s="10" t="s">
        <v>31</v>
      </c>
      <c r="D9" s="10" t="s">
        <v>32</v>
      </c>
      <c r="E9" s="10" t="s">
        <v>33</v>
      </c>
      <c r="F9" s="29"/>
      <c r="G9" s="29"/>
      <c r="I9" s="13" t="s">
        <v>34</v>
      </c>
      <c r="J9" s="30">
        <f>J3-ABS(J7)</f>
        <v>1</v>
      </c>
      <c r="K9" s="14"/>
      <c r="L9" s="14"/>
      <c r="M9" s="14"/>
      <c r="N9" s="14"/>
      <c r="O9" s="14"/>
      <c r="P9" s="15"/>
    </row>
    <row r="10" ht="15.0" customHeight="1">
      <c r="A10" s="31" t="s">
        <v>35</v>
      </c>
      <c r="B10" s="17"/>
      <c r="C10" s="32">
        <v>0.0</v>
      </c>
      <c r="D10" s="32">
        <v>0.0</v>
      </c>
      <c r="E10" s="32">
        <v>0.0</v>
      </c>
      <c r="F10" s="33" t="s">
        <v>36</v>
      </c>
      <c r="G10" s="28">
        <f t="shared" ref="G10:G11" si="1">E10+D10+C10</f>
        <v>0</v>
      </c>
      <c r="H10" s="28"/>
      <c r="I10" s="34" t="s">
        <v>37</v>
      </c>
      <c r="J10" s="30">
        <f>SUM(J3:J7)</f>
        <v>2</v>
      </c>
      <c r="K10" s="14"/>
      <c r="L10" s="14"/>
      <c r="M10" s="14"/>
      <c r="N10" s="14"/>
      <c r="O10" s="14"/>
      <c r="P10" s="15"/>
    </row>
    <row r="11" ht="15.75" customHeight="1">
      <c r="A11" s="21"/>
      <c r="B11" s="22"/>
      <c r="C11" s="35">
        <v>1.0</v>
      </c>
      <c r="D11" s="32">
        <v>0.0</v>
      </c>
      <c r="E11" s="32">
        <v>0.0</v>
      </c>
      <c r="F11" s="33" t="s">
        <v>38</v>
      </c>
      <c r="G11" s="28">
        <f t="shared" si="1"/>
        <v>1</v>
      </c>
      <c r="I11" s="34" t="s">
        <v>39</v>
      </c>
      <c r="J11" s="36">
        <f>J3-J4+J5-J6+J7</f>
        <v>1</v>
      </c>
      <c r="K11" s="14"/>
      <c r="L11" s="14"/>
      <c r="M11" s="14"/>
      <c r="N11" s="14"/>
      <c r="O11" s="14"/>
      <c r="P11" s="15"/>
    </row>
    <row r="12" ht="14.25" customHeight="1">
      <c r="C12" s="24">
        <v>1.0</v>
      </c>
      <c r="D12" s="24" t="s">
        <v>40</v>
      </c>
      <c r="E12" s="25" t="s">
        <v>41</v>
      </c>
      <c r="F12" s="33" t="s">
        <v>42</v>
      </c>
      <c r="G12" s="28">
        <f>G10/G11</f>
        <v>0</v>
      </c>
      <c r="I12" s="13" t="s">
        <v>43</v>
      </c>
      <c r="J12" s="30">
        <f>ABS(M6)-ABS(M3)</f>
        <v>1</v>
      </c>
      <c r="K12" s="14"/>
      <c r="L12" s="14"/>
      <c r="M12" s="14"/>
      <c r="N12" s="14"/>
      <c r="O12" s="14"/>
      <c r="P12" s="15"/>
    </row>
    <row r="13" ht="21.0" customHeight="1">
      <c r="C13" s="3" t="s">
        <v>44</v>
      </c>
      <c r="D13" s="3" t="s">
        <v>45</v>
      </c>
      <c r="E13" s="3" t="s">
        <v>46</v>
      </c>
      <c r="I13" s="37" t="s">
        <v>47</v>
      </c>
      <c r="J13" s="38">
        <f>ABS(P5)-ABS(P3)</f>
        <v>0.5</v>
      </c>
      <c r="K13" s="39"/>
      <c r="L13" s="39"/>
      <c r="M13" s="39"/>
      <c r="N13" s="39"/>
      <c r="O13" s="39"/>
      <c r="P13" s="40"/>
    </row>
    <row r="14" ht="14.25" customHeight="1"/>
    <row r="15" ht="14.25" customHeight="1">
      <c r="C15" s="3" t="s">
        <v>48</v>
      </c>
      <c r="D15" s="3" t="s">
        <v>49</v>
      </c>
      <c r="E15" s="3" t="s">
        <v>50</v>
      </c>
      <c r="F15" s="3" t="s">
        <v>51</v>
      </c>
      <c r="G15" s="3" t="s">
        <v>52</v>
      </c>
    </row>
    <row r="16" ht="14.25" customHeight="1">
      <c r="A16" s="41" t="s">
        <v>53</v>
      </c>
      <c r="B16" s="17"/>
      <c r="C16" s="42">
        <f>C10*C3</f>
        <v>0</v>
      </c>
      <c r="D16" s="3">
        <f>C10*D3+C3*D10</f>
        <v>0</v>
      </c>
      <c r="E16" s="3">
        <f>C10*E3+D10*D3+E10*C3</f>
        <v>0</v>
      </c>
      <c r="F16" s="3">
        <f>D10*E3+D3*E10</f>
        <v>0</v>
      </c>
      <c r="G16" s="3">
        <f t="shared" ref="G16:G17" si="2">E10*E3</f>
        <v>0</v>
      </c>
      <c r="K16" s="43">
        <v>-2.0</v>
      </c>
    </row>
    <row r="17" ht="14.25" customHeight="1">
      <c r="A17" s="21"/>
      <c r="B17" s="22"/>
      <c r="C17" s="42">
        <v>1.0</v>
      </c>
      <c r="D17" s="44">
        <f>D11+D4</f>
        <v>0.5</v>
      </c>
      <c r="E17" s="44">
        <f>E4+E11+D4*D11</f>
        <v>0.5</v>
      </c>
      <c r="F17" s="3">
        <f>D11*E4+E11*D4</f>
        <v>0</v>
      </c>
      <c r="G17" s="3">
        <f t="shared" si="2"/>
        <v>0</v>
      </c>
    </row>
    <row r="18" ht="14.25" customHeight="1">
      <c r="C18" s="3" t="s">
        <v>54</v>
      </c>
      <c r="D18" s="3" t="s">
        <v>55</v>
      </c>
      <c r="E18" s="3" t="s">
        <v>56</v>
      </c>
      <c r="F18" s="3" t="s">
        <v>57</v>
      </c>
      <c r="G18" s="3" t="s">
        <v>58</v>
      </c>
    </row>
    <row r="19" ht="14.25" customHeight="1">
      <c r="A19" s="45" t="s">
        <v>59</v>
      </c>
      <c r="B19" s="17"/>
      <c r="C19" s="46">
        <f t="shared" ref="C19:G19" si="3">C16</f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</row>
    <row r="20" ht="14.25" customHeight="1">
      <c r="A20" s="21"/>
      <c r="B20" s="22"/>
      <c r="C20" s="46">
        <f t="shared" ref="C20:G20" si="4">C17+C16</f>
        <v>1</v>
      </c>
      <c r="D20" s="47">
        <f t="shared" si="4"/>
        <v>0.5</v>
      </c>
      <c r="E20" s="47">
        <f t="shared" si="4"/>
        <v>0.5</v>
      </c>
      <c r="F20" s="11">
        <f t="shared" si="4"/>
        <v>0</v>
      </c>
      <c r="G20" s="11">
        <f t="shared" si="4"/>
        <v>0</v>
      </c>
    </row>
    <row r="21" ht="14.25" customHeight="1">
      <c r="C21" s="3" t="s">
        <v>60</v>
      </c>
      <c r="D21" s="3" t="s">
        <v>61</v>
      </c>
      <c r="E21" s="3" t="s">
        <v>62</v>
      </c>
      <c r="F21" s="3" t="s">
        <v>63</v>
      </c>
      <c r="G21" s="3" t="s">
        <v>64</v>
      </c>
    </row>
    <row r="22" ht="14.25" customHeight="1">
      <c r="A22" s="48" t="s">
        <v>65</v>
      </c>
      <c r="B22" s="17"/>
      <c r="C22" s="46">
        <f>C10*C4</f>
        <v>0</v>
      </c>
      <c r="D22" s="11">
        <f>C10*D4+C4*D10</f>
        <v>0</v>
      </c>
      <c r="E22" s="11">
        <f>C10*E4+D10*D4+E10*C4</f>
        <v>0</v>
      </c>
      <c r="F22" s="11">
        <f>D10*E4+D4*E10</f>
        <v>0</v>
      </c>
      <c r="G22" s="11">
        <f>E10*E4</f>
        <v>0</v>
      </c>
    </row>
    <row r="23" ht="14.25" customHeight="1">
      <c r="A23" s="21"/>
      <c r="B23" s="22"/>
      <c r="C23" s="46">
        <f t="shared" ref="C23:D23" si="5">C20+C19</f>
        <v>1</v>
      </c>
      <c r="D23" s="47">
        <f t="shared" si="5"/>
        <v>0.5</v>
      </c>
      <c r="E23" s="47">
        <f>E20</f>
        <v>0.5</v>
      </c>
      <c r="F23" s="11">
        <f t="shared" ref="F23:G23" si="6">F20+F19</f>
        <v>0</v>
      </c>
      <c r="G23" s="11">
        <f t="shared" si="6"/>
        <v>0</v>
      </c>
    </row>
    <row r="24" ht="14.25" customHeight="1">
      <c r="C24" s="3" t="s">
        <v>66</v>
      </c>
      <c r="D24" s="3" t="s">
        <v>67</v>
      </c>
      <c r="E24" s="3" t="s">
        <v>68</v>
      </c>
      <c r="F24" s="3" t="s">
        <v>69</v>
      </c>
      <c r="G24" s="3" t="s">
        <v>70</v>
      </c>
    </row>
    <row r="25" ht="14.25" customHeight="1"/>
    <row r="26" ht="18.75" customHeight="1">
      <c r="A26" s="49" t="s">
        <v>71</v>
      </c>
      <c r="B26" s="50"/>
      <c r="C26" s="51">
        <f>SUM(H34:H74)*G2/(1000*H2)</f>
        <v>1.025</v>
      </c>
      <c r="D26" s="52" t="s">
        <v>72</v>
      </c>
      <c r="E26" s="53"/>
      <c r="F26" s="54"/>
      <c r="G26" s="55">
        <v>-3.0</v>
      </c>
      <c r="H26" s="56" t="s">
        <v>73</v>
      </c>
      <c r="I26" s="57">
        <v>10.0</v>
      </c>
    </row>
    <row r="27" ht="14.25" customHeight="1">
      <c r="A27" s="58"/>
      <c r="B27" s="59"/>
      <c r="C27" s="60"/>
      <c r="D27" s="52" t="s">
        <v>74</v>
      </c>
      <c r="E27" s="53"/>
      <c r="F27" s="54"/>
      <c r="G27" s="55">
        <v>3.0</v>
      </c>
      <c r="H27" s="56" t="s">
        <v>75</v>
      </c>
      <c r="I27" s="57">
        <f>MAX(G30:G134)</f>
        <v>0</v>
      </c>
    </row>
    <row r="28" ht="14.25" customHeight="1"/>
    <row r="29" ht="14.25" customHeight="1">
      <c r="A29" s="11" t="s">
        <v>76</v>
      </c>
      <c r="B29" s="3" t="s">
        <v>77</v>
      </c>
      <c r="C29" s="11" t="s">
        <v>78</v>
      </c>
      <c r="D29" s="11" t="s">
        <v>79</v>
      </c>
      <c r="E29" s="11" t="s">
        <v>80</v>
      </c>
      <c r="F29" s="61" t="s">
        <v>81</v>
      </c>
      <c r="G29" s="11" t="s">
        <v>82</v>
      </c>
      <c r="H29" s="11" t="s">
        <v>83</v>
      </c>
    </row>
    <row r="30" ht="14.25" customHeight="1">
      <c r="A30" s="62">
        <v>0.0</v>
      </c>
      <c r="B30" s="42">
        <v>-4.0</v>
      </c>
      <c r="C30" s="63">
        <v>0.0</v>
      </c>
      <c r="D30" s="64">
        <v>0.0</v>
      </c>
      <c r="E30" s="65">
        <v>0.0</v>
      </c>
      <c r="F30" s="66">
        <f t="shared" ref="F30:F33" si="7">E30</f>
        <v>0</v>
      </c>
      <c r="G30" s="67">
        <f t="shared" ref="G30:G74" si="8">ABS(F30)</f>
        <v>0</v>
      </c>
      <c r="H30" s="63">
        <v>0.0</v>
      </c>
    </row>
    <row r="31" ht="14.25" customHeight="1">
      <c r="A31" s="62">
        <v>0.0</v>
      </c>
      <c r="B31" s="42">
        <v>-3.0</v>
      </c>
      <c r="C31" s="63">
        <v>0.0</v>
      </c>
      <c r="D31" s="64">
        <v>0.0</v>
      </c>
      <c r="E31" s="65">
        <v>0.0</v>
      </c>
      <c r="F31" s="66">
        <f t="shared" si="7"/>
        <v>0</v>
      </c>
      <c r="G31" s="67">
        <f t="shared" si="8"/>
        <v>0</v>
      </c>
      <c r="H31" s="63">
        <v>0.0</v>
      </c>
    </row>
    <row r="32" ht="14.25" customHeight="1">
      <c r="A32" s="62">
        <v>0.0</v>
      </c>
      <c r="B32" s="42">
        <v>-2.0</v>
      </c>
      <c r="C32" s="63">
        <v>0.0</v>
      </c>
      <c r="D32" s="64">
        <v>0.0</v>
      </c>
      <c r="E32" s="63">
        <v>0.0</v>
      </c>
      <c r="F32" s="66">
        <f t="shared" si="7"/>
        <v>0</v>
      </c>
      <c r="G32" s="67">
        <f t="shared" si="8"/>
        <v>0</v>
      </c>
      <c r="H32" s="63">
        <v>0.0</v>
      </c>
    </row>
    <row r="33" ht="14.25" customHeight="1">
      <c r="A33" s="62">
        <v>0.0</v>
      </c>
      <c r="B33" s="42">
        <v>-1.0</v>
      </c>
      <c r="C33" s="63">
        <v>0.0</v>
      </c>
      <c r="D33" s="64">
        <v>0.0</v>
      </c>
      <c r="E33" s="63">
        <v>0.0</v>
      </c>
      <c r="F33" s="66">
        <f t="shared" si="7"/>
        <v>0</v>
      </c>
      <c r="G33" s="67">
        <f t="shared" si="8"/>
        <v>0</v>
      </c>
      <c r="H33" s="63">
        <v>0.0</v>
      </c>
    </row>
    <row r="34" ht="14.25" customHeight="1">
      <c r="A34" s="62">
        <v>0.0</v>
      </c>
      <c r="B34" s="42">
        <v>0.0</v>
      </c>
      <c r="C34" s="64">
        <v>1.0</v>
      </c>
      <c r="D34" s="64">
        <v>1.0</v>
      </c>
      <c r="E34" s="63">
        <f t="shared" ref="E34:E74" si="9">($C$19*C34+$D$19*C33+$E$19*C32+$F$19*C31+$G$19*C30-$D$20*E33-$E$20*E32-$F$20*E31-$G$20*E30)/$C$20</f>
        <v>0</v>
      </c>
      <c r="F34" s="66">
        <f t="shared" ref="F34:F74" si="10">($C$22*C34+$D$22*C33+$E$22*C32+$F$22*C31+$G$22*C30-$D$23*F33-$E$23*F32-$F$23*F31-$G$23*F30)/$C$23</f>
        <v>0</v>
      </c>
      <c r="G34" s="67">
        <f t="shared" si="8"/>
        <v>0</v>
      </c>
      <c r="H34" s="63">
        <f t="shared" ref="H34:H74" si="11">(E34-D34)^2</f>
        <v>1</v>
      </c>
    </row>
    <row r="35" ht="14.25" customHeight="1">
      <c r="A35" s="62">
        <f t="shared" ref="A35:A74" si="12">A34+$G$2/1000</f>
        <v>0.1</v>
      </c>
      <c r="B35" s="42">
        <f t="shared" ref="B35:B74" si="13">B34+1</f>
        <v>1</v>
      </c>
      <c r="C35" s="64">
        <v>1.0</v>
      </c>
      <c r="D35" s="64">
        <v>1.0</v>
      </c>
      <c r="E35" s="63">
        <f t="shared" si="9"/>
        <v>0</v>
      </c>
      <c r="F35" s="66">
        <f t="shared" si="10"/>
        <v>0</v>
      </c>
      <c r="G35" s="67">
        <f t="shared" si="8"/>
        <v>0</v>
      </c>
      <c r="H35" s="68">
        <f t="shared" si="11"/>
        <v>1</v>
      </c>
      <c r="O35" s="69"/>
    </row>
    <row r="36" ht="14.25" customHeight="1">
      <c r="A36" s="62">
        <f t="shared" si="12"/>
        <v>0.2</v>
      </c>
      <c r="B36" s="42">
        <f t="shared" si="13"/>
        <v>2</v>
      </c>
      <c r="C36" s="64">
        <v>1.0</v>
      </c>
      <c r="D36" s="64">
        <v>1.0</v>
      </c>
      <c r="E36" s="63">
        <f t="shared" si="9"/>
        <v>0</v>
      </c>
      <c r="F36" s="66">
        <f t="shared" si="10"/>
        <v>0</v>
      </c>
      <c r="G36" s="67">
        <f t="shared" si="8"/>
        <v>0</v>
      </c>
      <c r="H36" s="68">
        <f t="shared" si="11"/>
        <v>1</v>
      </c>
      <c r="O36" s="69"/>
    </row>
    <row r="37" ht="14.25" customHeight="1">
      <c r="A37" s="62">
        <f t="shared" si="12"/>
        <v>0.3</v>
      </c>
      <c r="B37" s="42">
        <f t="shared" si="13"/>
        <v>3</v>
      </c>
      <c r="C37" s="64">
        <v>1.0</v>
      </c>
      <c r="D37" s="64">
        <v>1.0</v>
      </c>
      <c r="E37" s="63">
        <f t="shared" si="9"/>
        <v>0</v>
      </c>
      <c r="F37" s="66">
        <f t="shared" si="10"/>
        <v>0</v>
      </c>
      <c r="G37" s="67">
        <f t="shared" si="8"/>
        <v>0</v>
      </c>
      <c r="H37" s="68">
        <f t="shared" si="11"/>
        <v>1</v>
      </c>
      <c r="O37" s="69"/>
    </row>
    <row r="38" ht="14.25" customHeight="1">
      <c r="A38" s="62">
        <f t="shared" si="12"/>
        <v>0.4</v>
      </c>
      <c r="B38" s="42">
        <f t="shared" si="13"/>
        <v>4</v>
      </c>
      <c r="C38" s="64">
        <v>1.0</v>
      </c>
      <c r="D38" s="64">
        <v>1.0</v>
      </c>
      <c r="E38" s="63">
        <f t="shared" si="9"/>
        <v>0</v>
      </c>
      <c r="F38" s="66">
        <f t="shared" si="10"/>
        <v>0</v>
      </c>
      <c r="G38" s="67">
        <f t="shared" si="8"/>
        <v>0</v>
      </c>
      <c r="H38" s="68">
        <f t="shared" si="11"/>
        <v>1</v>
      </c>
      <c r="O38" s="69"/>
    </row>
    <row r="39" ht="14.25" customHeight="1">
      <c r="A39" s="62">
        <f t="shared" si="12"/>
        <v>0.5</v>
      </c>
      <c r="B39" s="42">
        <f t="shared" si="13"/>
        <v>5</v>
      </c>
      <c r="C39" s="64">
        <v>1.0</v>
      </c>
      <c r="D39" s="64">
        <v>1.0</v>
      </c>
      <c r="E39" s="63">
        <f t="shared" si="9"/>
        <v>0</v>
      </c>
      <c r="F39" s="66">
        <f t="shared" si="10"/>
        <v>0</v>
      </c>
      <c r="G39" s="67">
        <f t="shared" si="8"/>
        <v>0</v>
      </c>
      <c r="H39" s="68">
        <f t="shared" si="11"/>
        <v>1</v>
      </c>
      <c r="O39" s="69"/>
    </row>
    <row r="40" ht="14.25" customHeight="1">
      <c r="A40" s="62">
        <f t="shared" si="12"/>
        <v>0.6</v>
      </c>
      <c r="B40" s="42">
        <f t="shared" si="13"/>
        <v>6</v>
      </c>
      <c r="C40" s="64">
        <v>1.0</v>
      </c>
      <c r="D40" s="64">
        <v>1.0</v>
      </c>
      <c r="E40" s="63">
        <f t="shared" si="9"/>
        <v>0</v>
      </c>
      <c r="F40" s="66">
        <f t="shared" si="10"/>
        <v>0</v>
      </c>
      <c r="G40" s="67">
        <f t="shared" si="8"/>
        <v>0</v>
      </c>
      <c r="H40" s="68">
        <f t="shared" si="11"/>
        <v>1</v>
      </c>
      <c r="O40" s="69"/>
    </row>
    <row r="41" ht="14.25" customHeight="1">
      <c r="A41" s="62">
        <f t="shared" si="12"/>
        <v>0.7</v>
      </c>
      <c r="B41" s="42">
        <f t="shared" si="13"/>
        <v>7</v>
      </c>
      <c r="C41" s="64">
        <v>1.0</v>
      </c>
      <c r="D41" s="64">
        <v>1.0</v>
      </c>
      <c r="E41" s="63">
        <f t="shared" si="9"/>
        <v>0</v>
      </c>
      <c r="F41" s="66">
        <f t="shared" si="10"/>
        <v>0</v>
      </c>
      <c r="G41" s="67">
        <f t="shared" si="8"/>
        <v>0</v>
      </c>
      <c r="H41" s="68">
        <f t="shared" si="11"/>
        <v>1</v>
      </c>
      <c r="O41" s="69"/>
    </row>
    <row r="42" ht="14.25" customHeight="1">
      <c r="A42" s="62">
        <f t="shared" si="12"/>
        <v>0.8</v>
      </c>
      <c r="B42" s="42">
        <f t="shared" si="13"/>
        <v>8</v>
      </c>
      <c r="C42" s="64">
        <v>1.0</v>
      </c>
      <c r="D42" s="64">
        <v>1.0</v>
      </c>
      <c r="E42" s="63">
        <f t="shared" si="9"/>
        <v>0</v>
      </c>
      <c r="F42" s="66">
        <f t="shared" si="10"/>
        <v>0</v>
      </c>
      <c r="G42" s="67">
        <f t="shared" si="8"/>
        <v>0</v>
      </c>
      <c r="H42" s="68">
        <f t="shared" si="11"/>
        <v>1</v>
      </c>
      <c r="O42" s="69"/>
    </row>
    <row r="43" ht="14.25" customHeight="1">
      <c r="A43" s="62">
        <f t="shared" si="12"/>
        <v>0.9</v>
      </c>
      <c r="B43" s="42">
        <f t="shared" si="13"/>
        <v>9</v>
      </c>
      <c r="C43" s="64">
        <v>1.0</v>
      </c>
      <c r="D43" s="64">
        <v>1.0</v>
      </c>
      <c r="E43" s="63">
        <f t="shared" si="9"/>
        <v>0</v>
      </c>
      <c r="F43" s="66">
        <f t="shared" si="10"/>
        <v>0</v>
      </c>
      <c r="G43" s="67">
        <f t="shared" si="8"/>
        <v>0</v>
      </c>
      <c r="H43" s="68">
        <f t="shared" si="11"/>
        <v>1</v>
      </c>
      <c r="O43" s="69"/>
    </row>
    <row r="44" ht="14.25" customHeight="1">
      <c r="A44" s="62">
        <f t="shared" si="12"/>
        <v>1</v>
      </c>
      <c r="B44" s="42">
        <f t="shared" si="13"/>
        <v>10</v>
      </c>
      <c r="C44" s="64">
        <v>1.0</v>
      </c>
      <c r="D44" s="64">
        <v>1.0</v>
      </c>
      <c r="E44" s="63">
        <f t="shared" si="9"/>
        <v>0</v>
      </c>
      <c r="F44" s="66">
        <f t="shared" si="10"/>
        <v>0</v>
      </c>
      <c r="G44" s="67">
        <f t="shared" si="8"/>
        <v>0</v>
      </c>
      <c r="H44" s="68">
        <f t="shared" si="11"/>
        <v>1</v>
      </c>
      <c r="O44" s="69"/>
    </row>
    <row r="45" ht="14.25" customHeight="1">
      <c r="A45" s="62">
        <f t="shared" si="12"/>
        <v>1.1</v>
      </c>
      <c r="B45" s="42">
        <f t="shared" si="13"/>
        <v>11</v>
      </c>
      <c r="C45" s="64">
        <v>1.0</v>
      </c>
      <c r="D45" s="64">
        <v>1.0</v>
      </c>
      <c r="E45" s="63">
        <f t="shared" si="9"/>
        <v>0</v>
      </c>
      <c r="F45" s="66">
        <f t="shared" si="10"/>
        <v>0</v>
      </c>
      <c r="G45" s="67">
        <f t="shared" si="8"/>
        <v>0</v>
      </c>
      <c r="H45" s="68">
        <f t="shared" si="11"/>
        <v>1</v>
      </c>
      <c r="O45" s="69"/>
    </row>
    <row r="46" ht="14.25" customHeight="1">
      <c r="A46" s="62">
        <f t="shared" si="12"/>
        <v>1.2</v>
      </c>
      <c r="B46" s="42">
        <f t="shared" si="13"/>
        <v>12</v>
      </c>
      <c r="C46" s="64">
        <v>1.0</v>
      </c>
      <c r="D46" s="64">
        <v>1.0</v>
      </c>
      <c r="E46" s="63">
        <f t="shared" si="9"/>
        <v>0</v>
      </c>
      <c r="F46" s="66">
        <f t="shared" si="10"/>
        <v>0</v>
      </c>
      <c r="G46" s="67">
        <f t="shared" si="8"/>
        <v>0</v>
      </c>
      <c r="H46" s="68">
        <f t="shared" si="11"/>
        <v>1</v>
      </c>
      <c r="O46" s="69"/>
    </row>
    <row r="47" ht="14.25" customHeight="1">
      <c r="A47" s="62">
        <f t="shared" si="12"/>
        <v>1.3</v>
      </c>
      <c r="B47" s="42">
        <f t="shared" si="13"/>
        <v>13</v>
      </c>
      <c r="C47" s="64">
        <v>1.0</v>
      </c>
      <c r="D47" s="64">
        <v>1.0</v>
      </c>
      <c r="E47" s="63">
        <f t="shared" si="9"/>
        <v>0</v>
      </c>
      <c r="F47" s="66">
        <f t="shared" si="10"/>
        <v>0</v>
      </c>
      <c r="G47" s="67">
        <f t="shared" si="8"/>
        <v>0</v>
      </c>
      <c r="H47" s="68">
        <f t="shared" si="11"/>
        <v>1</v>
      </c>
      <c r="O47" s="69"/>
    </row>
    <row r="48" ht="14.25" customHeight="1">
      <c r="A48" s="62">
        <f t="shared" si="12"/>
        <v>1.4</v>
      </c>
      <c r="B48" s="42">
        <f t="shared" si="13"/>
        <v>14</v>
      </c>
      <c r="C48" s="64">
        <v>1.0</v>
      </c>
      <c r="D48" s="64">
        <v>1.0</v>
      </c>
      <c r="E48" s="63">
        <f t="shared" si="9"/>
        <v>0</v>
      </c>
      <c r="F48" s="66">
        <f t="shared" si="10"/>
        <v>0</v>
      </c>
      <c r="G48" s="67">
        <f t="shared" si="8"/>
        <v>0</v>
      </c>
      <c r="H48" s="68">
        <f t="shared" si="11"/>
        <v>1</v>
      </c>
      <c r="O48" s="69"/>
    </row>
    <row r="49" ht="14.25" customHeight="1">
      <c r="A49" s="62">
        <f t="shared" si="12"/>
        <v>1.5</v>
      </c>
      <c r="B49" s="42">
        <f t="shared" si="13"/>
        <v>15</v>
      </c>
      <c r="C49" s="64">
        <v>1.0</v>
      </c>
      <c r="D49" s="64">
        <v>1.0</v>
      </c>
      <c r="E49" s="63">
        <f t="shared" si="9"/>
        <v>0</v>
      </c>
      <c r="F49" s="66">
        <f t="shared" si="10"/>
        <v>0</v>
      </c>
      <c r="G49" s="67">
        <f t="shared" si="8"/>
        <v>0</v>
      </c>
      <c r="H49" s="68">
        <f t="shared" si="11"/>
        <v>1</v>
      </c>
      <c r="O49" s="69"/>
    </row>
    <row r="50" ht="14.25" customHeight="1">
      <c r="A50" s="62">
        <f t="shared" si="12"/>
        <v>1.6</v>
      </c>
      <c r="B50" s="42">
        <f t="shared" si="13"/>
        <v>16</v>
      </c>
      <c r="C50" s="64">
        <v>1.0</v>
      </c>
      <c r="D50" s="64">
        <v>1.0</v>
      </c>
      <c r="E50" s="63">
        <f t="shared" si="9"/>
        <v>0</v>
      </c>
      <c r="F50" s="66">
        <f t="shared" si="10"/>
        <v>0</v>
      </c>
      <c r="G50" s="67">
        <f t="shared" si="8"/>
        <v>0</v>
      </c>
      <c r="H50" s="68">
        <f t="shared" si="11"/>
        <v>1</v>
      </c>
      <c r="O50" s="69"/>
    </row>
    <row r="51" ht="14.25" customHeight="1">
      <c r="A51" s="62">
        <f t="shared" si="12"/>
        <v>1.7</v>
      </c>
      <c r="B51" s="42">
        <f t="shared" si="13"/>
        <v>17</v>
      </c>
      <c r="C51" s="64">
        <v>1.0</v>
      </c>
      <c r="D51" s="64">
        <v>1.0</v>
      </c>
      <c r="E51" s="63">
        <f t="shared" si="9"/>
        <v>0</v>
      </c>
      <c r="F51" s="66">
        <f t="shared" si="10"/>
        <v>0</v>
      </c>
      <c r="G51" s="67">
        <f t="shared" si="8"/>
        <v>0</v>
      </c>
      <c r="H51" s="68">
        <f t="shared" si="11"/>
        <v>1</v>
      </c>
      <c r="O51" s="69"/>
    </row>
    <row r="52" ht="14.25" customHeight="1">
      <c r="A52" s="62">
        <f t="shared" si="12"/>
        <v>1.8</v>
      </c>
      <c r="B52" s="42">
        <f t="shared" si="13"/>
        <v>18</v>
      </c>
      <c r="C52" s="64">
        <v>1.0</v>
      </c>
      <c r="D52" s="64">
        <v>1.0</v>
      </c>
      <c r="E52" s="63">
        <f t="shared" si="9"/>
        <v>0</v>
      </c>
      <c r="F52" s="66">
        <f t="shared" si="10"/>
        <v>0</v>
      </c>
      <c r="G52" s="67">
        <f t="shared" si="8"/>
        <v>0</v>
      </c>
      <c r="H52" s="68">
        <f t="shared" si="11"/>
        <v>1</v>
      </c>
      <c r="O52" s="69"/>
    </row>
    <row r="53" ht="14.25" customHeight="1">
      <c r="A53" s="62">
        <f t="shared" si="12"/>
        <v>1.9</v>
      </c>
      <c r="B53" s="42">
        <f t="shared" si="13"/>
        <v>19</v>
      </c>
      <c r="C53" s="64">
        <v>1.0</v>
      </c>
      <c r="D53" s="64">
        <v>1.0</v>
      </c>
      <c r="E53" s="63">
        <f t="shared" si="9"/>
        <v>0</v>
      </c>
      <c r="F53" s="66">
        <f t="shared" si="10"/>
        <v>0</v>
      </c>
      <c r="G53" s="67">
        <f t="shared" si="8"/>
        <v>0</v>
      </c>
      <c r="H53" s="68">
        <f t="shared" si="11"/>
        <v>1</v>
      </c>
      <c r="O53" s="69"/>
    </row>
    <row r="54" ht="14.25" customHeight="1">
      <c r="A54" s="62">
        <f t="shared" si="12"/>
        <v>2</v>
      </c>
      <c r="B54" s="42">
        <f t="shared" si="13"/>
        <v>20</v>
      </c>
      <c r="C54" s="64">
        <v>1.0</v>
      </c>
      <c r="D54" s="64">
        <v>1.0</v>
      </c>
      <c r="E54" s="63">
        <f t="shared" si="9"/>
        <v>0</v>
      </c>
      <c r="F54" s="66">
        <f t="shared" si="10"/>
        <v>0</v>
      </c>
      <c r="G54" s="67">
        <f t="shared" si="8"/>
        <v>0</v>
      </c>
      <c r="H54" s="68">
        <f t="shared" si="11"/>
        <v>1</v>
      </c>
      <c r="O54" s="69"/>
    </row>
    <row r="55" ht="14.25" customHeight="1">
      <c r="A55" s="62">
        <f t="shared" si="12"/>
        <v>2.1</v>
      </c>
      <c r="B55" s="42">
        <f t="shared" si="13"/>
        <v>21</v>
      </c>
      <c r="C55" s="64">
        <v>1.0</v>
      </c>
      <c r="D55" s="64">
        <v>1.0</v>
      </c>
      <c r="E55" s="63">
        <f t="shared" si="9"/>
        <v>0</v>
      </c>
      <c r="F55" s="66">
        <f t="shared" si="10"/>
        <v>0</v>
      </c>
      <c r="G55" s="67">
        <f t="shared" si="8"/>
        <v>0</v>
      </c>
      <c r="H55" s="68">
        <f t="shared" si="11"/>
        <v>1</v>
      </c>
      <c r="O55" s="69"/>
    </row>
    <row r="56" ht="14.25" customHeight="1">
      <c r="A56" s="62">
        <f t="shared" si="12"/>
        <v>2.2</v>
      </c>
      <c r="B56" s="42">
        <f t="shared" si="13"/>
        <v>22</v>
      </c>
      <c r="C56" s="64">
        <v>1.0</v>
      </c>
      <c r="D56" s="64">
        <v>1.0</v>
      </c>
      <c r="E56" s="63">
        <f t="shared" si="9"/>
        <v>0</v>
      </c>
      <c r="F56" s="66">
        <f t="shared" si="10"/>
        <v>0</v>
      </c>
      <c r="G56" s="67">
        <f t="shared" si="8"/>
        <v>0</v>
      </c>
      <c r="H56" s="68">
        <f t="shared" si="11"/>
        <v>1</v>
      </c>
      <c r="O56" s="69"/>
    </row>
    <row r="57" ht="14.25" customHeight="1">
      <c r="A57" s="62">
        <f t="shared" si="12"/>
        <v>2.3</v>
      </c>
      <c r="B57" s="42">
        <f t="shared" si="13"/>
        <v>23</v>
      </c>
      <c r="C57" s="64">
        <v>1.0</v>
      </c>
      <c r="D57" s="64">
        <v>1.0</v>
      </c>
      <c r="E57" s="63">
        <f t="shared" si="9"/>
        <v>0</v>
      </c>
      <c r="F57" s="66">
        <f t="shared" si="10"/>
        <v>0</v>
      </c>
      <c r="G57" s="67">
        <f t="shared" si="8"/>
        <v>0</v>
      </c>
      <c r="H57" s="68">
        <f t="shared" si="11"/>
        <v>1</v>
      </c>
      <c r="O57" s="69"/>
    </row>
    <row r="58" ht="14.25" customHeight="1">
      <c r="A58" s="62">
        <f t="shared" si="12"/>
        <v>2.4</v>
      </c>
      <c r="B58" s="42">
        <f t="shared" si="13"/>
        <v>24</v>
      </c>
      <c r="C58" s="64">
        <v>1.0</v>
      </c>
      <c r="D58" s="64">
        <v>1.0</v>
      </c>
      <c r="E58" s="63">
        <f t="shared" si="9"/>
        <v>0</v>
      </c>
      <c r="F58" s="66">
        <f t="shared" si="10"/>
        <v>0</v>
      </c>
      <c r="G58" s="67">
        <f t="shared" si="8"/>
        <v>0</v>
      </c>
      <c r="H58" s="68">
        <f t="shared" si="11"/>
        <v>1</v>
      </c>
      <c r="O58" s="69"/>
    </row>
    <row r="59" ht="14.25" customHeight="1">
      <c r="A59" s="62">
        <f t="shared" si="12"/>
        <v>2.5</v>
      </c>
      <c r="B59" s="42">
        <f t="shared" si="13"/>
        <v>25</v>
      </c>
      <c r="C59" s="64">
        <v>1.0</v>
      </c>
      <c r="D59" s="64">
        <v>1.0</v>
      </c>
      <c r="E59" s="63">
        <f t="shared" si="9"/>
        <v>0</v>
      </c>
      <c r="F59" s="66">
        <f t="shared" si="10"/>
        <v>0</v>
      </c>
      <c r="G59" s="67">
        <f t="shared" si="8"/>
        <v>0</v>
      </c>
      <c r="H59" s="68">
        <f t="shared" si="11"/>
        <v>1</v>
      </c>
      <c r="O59" s="69"/>
    </row>
    <row r="60" ht="14.25" customHeight="1">
      <c r="A60" s="62">
        <f t="shared" si="12"/>
        <v>2.6</v>
      </c>
      <c r="B60" s="42">
        <f t="shared" si="13"/>
        <v>26</v>
      </c>
      <c r="C60" s="64">
        <v>1.0</v>
      </c>
      <c r="D60" s="64">
        <v>1.0</v>
      </c>
      <c r="E60" s="63">
        <f t="shared" si="9"/>
        <v>0</v>
      </c>
      <c r="F60" s="66">
        <f t="shared" si="10"/>
        <v>0</v>
      </c>
      <c r="G60" s="67">
        <f t="shared" si="8"/>
        <v>0</v>
      </c>
      <c r="H60" s="68">
        <f t="shared" si="11"/>
        <v>1</v>
      </c>
      <c r="O60" s="69"/>
    </row>
    <row r="61" ht="14.25" customHeight="1">
      <c r="A61" s="62">
        <f t="shared" si="12"/>
        <v>2.7</v>
      </c>
      <c r="B61" s="42">
        <f t="shared" si="13"/>
        <v>27</v>
      </c>
      <c r="C61" s="64">
        <v>1.0</v>
      </c>
      <c r="D61" s="64">
        <v>1.0</v>
      </c>
      <c r="E61" s="63">
        <f t="shared" si="9"/>
        <v>0</v>
      </c>
      <c r="F61" s="66">
        <f t="shared" si="10"/>
        <v>0</v>
      </c>
      <c r="G61" s="67">
        <f t="shared" si="8"/>
        <v>0</v>
      </c>
      <c r="H61" s="68">
        <f t="shared" si="11"/>
        <v>1</v>
      </c>
      <c r="O61" s="69"/>
    </row>
    <row r="62" ht="14.25" customHeight="1">
      <c r="A62" s="62">
        <f t="shared" si="12"/>
        <v>2.8</v>
      </c>
      <c r="B62" s="42">
        <f t="shared" si="13"/>
        <v>28</v>
      </c>
      <c r="C62" s="64">
        <v>1.0</v>
      </c>
      <c r="D62" s="64">
        <v>1.0</v>
      </c>
      <c r="E62" s="63">
        <f t="shared" si="9"/>
        <v>0</v>
      </c>
      <c r="F62" s="66">
        <f t="shared" si="10"/>
        <v>0</v>
      </c>
      <c r="G62" s="67">
        <f t="shared" si="8"/>
        <v>0</v>
      </c>
      <c r="H62" s="68">
        <f t="shared" si="11"/>
        <v>1</v>
      </c>
      <c r="O62" s="69"/>
    </row>
    <row r="63" ht="14.25" customHeight="1">
      <c r="A63" s="62">
        <f t="shared" si="12"/>
        <v>2.9</v>
      </c>
      <c r="B63" s="42">
        <f t="shared" si="13"/>
        <v>29</v>
      </c>
      <c r="C63" s="64">
        <v>1.0</v>
      </c>
      <c r="D63" s="64">
        <v>1.0</v>
      </c>
      <c r="E63" s="63">
        <f t="shared" si="9"/>
        <v>0</v>
      </c>
      <c r="F63" s="66">
        <f t="shared" si="10"/>
        <v>0</v>
      </c>
      <c r="G63" s="67">
        <f t="shared" si="8"/>
        <v>0</v>
      </c>
      <c r="H63" s="68">
        <f t="shared" si="11"/>
        <v>1</v>
      </c>
      <c r="O63" s="69"/>
    </row>
    <row r="64" ht="14.25" customHeight="1">
      <c r="A64" s="62">
        <f t="shared" si="12"/>
        <v>3</v>
      </c>
      <c r="B64" s="42">
        <f t="shared" si="13"/>
        <v>30</v>
      </c>
      <c r="C64" s="64">
        <v>1.0</v>
      </c>
      <c r="D64" s="64">
        <v>1.0</v>
      </c>
      <c r="E64" s="63">
        <f t="shared" si="9"/>
        <v>0</v>
      </c>
      <c r="F64" s="66">
        <f t="shared" si="10"/>
        <v>0</v>
      </c>
      <c r="G64" s="67">
        <f t="shared" si="8"/>
        <v>0</v>
      </c>
      <c r="H64" s="68">
        <f t="shared" si="11"/>
        <v>1</v>
      </c>
      <c r="O64" s="69"/>
    </row>
    <row r="65" ht="14.25" customHeight="1">
      <c r="A65" s="62">
        <f t="shared" si="12"/>
        <v>3.1</v>
      </c>
      <c r="B65" s="42">
        <f t="shared" si="13"/>
        <v>31</v>
      </c>
      <c r="C65" s="64">
        <v>1.0</v>
      </c>
      <c r="D65" s="64">
        <v>1.0</v>
      </c>
      <c r="E65" s="63">
        <f t="shared" si="9"/>
        <v>0</v>
      </c>
      <c r="F65" s="66">
        <f t="shared" si="10"/>
        <v>0</v>
      </c>
      <c r="G65" s="67">
        <f t="shared" si="8"/>
        <v>0</v>
      </c>
      <c r="H65" s="68">
        <f t="shared" si="11"/>
        <v>1</v>
      </c>
      <c r="O65" s="69"/>
    </row>
    <row r="66" ht="14.25" customHeight="1">
      <c r="A66" s="62">
        <f t="shared" si="12"/>
        <v>3.2</v>
      </c>
      <c r="B66" s="42">
        <f t="shared" si="13"/>
        <v>32</v>
      </c>
      <c r="C66" s="64">
        <v>1.0</v>
      </c>
      <c r="D66" s="64">
        <v>1.0</v>
      </c>
      <c r="E66" s="63">
        <f t="shared" si="9"/>
        <v>0</v>
      </c>
      <c r="F66" s="66">
        <f t="shared" si="10"/>
        <v>0</v>
      </c>
      <c r="G66" s="67">
        <f t="shared" si="8"/>
        <v>0</v>
      </c>
      <c r="H66" s="68">
        <f t="shared" si="11"/>
        <v>1</v>
      </c>
      <c r="O66" s="69"/>
    </row>
    <row r="67" ht="14.25" customHeight="1">
      <c r="A67" s="62">
        <f t="shared" si="12"/>
        <v>3.3</v>
      </c>
      <c r="B67" s="42">
        <f t="shared" si="13"/>
        <v>33</v>
      </c>
      <c r="C67" s="64">
        <v>1.0</v>
      </c>
      <c r="D67" s="64">
        <v>1.0</v>
      </c>
      <c r="E67" s="63">
        <f t="shared" si="9"/>
        <v>0</v>
      </c>
      <c r="F67" s="66">
        <f t="shared" si="10"/>
        <v>0</v>
      </c>
      <c r="G67" s="67">
        <f t="shared" si="8"/>
        <v>0</v>
      </c>
      <c r="H67" s="68">
        <f t="shared" si="11"/>
        <v>1</v>
      </c>
      <c r="O67" s="69"/>
    </row>
    <row r="68" ht="14.25" customHeight="1">
      <c r="A68" s="62">
        <f t="shared" si="12"/>
        <v>3.4</v>
      </c>
      <c r="B68" s="42">
        <f t="shared" si="13"/>
        <v>34</v>
      </c>
      <c r="C68" s="64">
        <v>1.0</v>
      </c>
      <c r="D68" s="64">
        <v>1.0</v>
      </c>
      <c r="E68" s="63">
        <f t="shared" si="9"/>
        <v>0</v>
      </c>
      <c r="F68" s="66">
        <f t="shared" si="10"/>
        <v>0</v>
      </c>
      <c r="G68" s="67">
        <f t="shared" si="8"/>
        <v>0</v>
      </c>
      <c r="H68" s="68">
        <f t="shared" si="11"/>
        <v>1</v>
      </c>
    </row>
    <row r="69" ht="14.25" customHeight="1">
      <c r="A69" s="62">
        <f t="shared" si="12"/>
        <v>3.5</v>
      </c>
      <c r="B69" s="42">
        <f t="shared" si="13"/>
        <v>35</v>
      </c>
      <c r="C69" s="64">
        <v>1.0</v>
      </c>
      <c r="D69" s="64">
        <v>1.0</v>
      </c>
      <c r="E69" s="63">
        <f t="shared" si="9"/>
        <v>0</v>
      </c>
      <c r="F69" s="66">
        <f t="shared" si="10"/>
        <v>0</v>
      </c>
      <c r="G69" s="67">
        <f t="shared" si="8"/>
        <v>0</v>
      </c>
      <c r="H69" s="68">
        <f t="shared" si="11"/>
        <v>1</v>
      </c>
    </row>
    <row r="70" ht="14.25" customHeight="1">
      <c r="A70" s="62">
        <f t="shared" si="12"/>
        <v>3.6</v>
      </c>
      <c r="B70" s="42">
        <f t="shared" si="13"/>
        <v>36</v>
      </c>
      <c r="C70" s="64">
        <v>1.0</v>
      </c>
      <c r="D70" s="64">
        <v>1.0</v>
      </c>
      <c r="E70" s="63">
        <f t="shared" si="9"/>
        <v>0</v>
      </c>
      <c r="F70" s="66">
        <f t="shared" si="10"/>
        <v>0</v>
      </c>
      <c r="G70" s="67">
        <f t="shared" si="8"/>
        <v>0</v>
      </c>
      <c r="H70" s="68">
        <f t="shared" si="11"/>
        <v>1</v>
      </c>
    </row>
    <row r="71" ht="14.25" customHeight="1">
      <c r="A71" s="62">
        <f t="shared" si="12"/>
        <v>3.7</v>
      </c>
      <c r="B71" s="42">
        <f t="shared" si="13"/>
        <v>37</v>
      </c>
      <c r="C71" s="64">
        <v>1.0</v>
      </c>
      <c r="D71" s="64">
        <v>1.0</v>
      </c>
      <c r="E71" s="63">
        <f t="shared" si="9"/>
        <v>0</v>
      </c>
      <c r="F71" s="66">
        <f t="shared" si="10"/>
        <v>0</v>
      </c>
      <c r="G71" s="67">
        <f t="shared" si="8"/>
        <v>0</v>
      </c>
      <c r="H71" s="68">
        <f t="shared" si="11"/>
        <v>1</v>
      </c>
    </row>
    <row r="72" ht="14.25" customHeight="1">
      <c r="A72" s="62">
        <f t="shared" si="12"/>
        <v>3.8</v>
      </c>
      <c r="B72" s="42">
        <f t="shared" si="13"/>
        <v>38</v>
      </c>
      <c r="C72" s="64">
        <v>1.0</v>
      </c>
      <c r="D72" s="64">
        <v>1.0</v>
      </c>
      <c r="E72" s="63">
        <f t="shared" si="9"/>
        <v>0</v>
      </c>
      <c r="F72" s="66">
        <f t="shared" si="10"/>
        <v>0</v>
      </c>
      <c r="G72" s="67">
        <f t="shared" si="8"/>
        <v>0</v>
      </c>
      <c r="H72" s="68">
        <f t="shared" si="11"/>
        <v>1</v>
      </c>
    </row>
    <row r="73" ht="14.25" customHeight="1">
      <c r="A73" s="62">
        <f t="shared" si="12"/>
        <v>3.9</v>
      </c>
      <c r="B73" s="42">
        <f t="shared" si="13"/>
        <v>39</v>
      </c>
      <c r="C73" s="64">
        <v>1.0</v>
      </c>
      <c r="D73" s="64">
        <v>1.0</v>
      </c>
      <c r="E73" s="63">
        <f t="shared" si="9"/>
        <v>0</v>
      </c>
      <c r="F73" s="66">
        <f t="shared" si="10"/>
        <v>0</v>
      </c>
      <c r="G73" s="67">
        <f t="shared" si="8"/>
        <v>0</v>
      </c>
      <c r="H73" s="68">
        <f t="shared" si="11"/>
        <v>1</v>
      </c>
    </row>
    <row r="74" ht="14.25" customHeight="1">
      <c r="A74" s="62">
        <f t="shared" si="12"/>
        <v>4</v>
      </c>
      <c r="B74" s="42">
        <f t="shared" si="13"/>
        <v>40</v>
      </c>
      <c r="C74" s="64">
        <v>1.0</v>
      </c>
      <c r="D74" s="64">
        <v>1.0</v>
      </c>
      <c r="E74" s="63">
        <f t="shared" si="9"/>
        <v>0</v>
      </c>
      <c r="F74" s="66">
        <f t="shared" si="10"/>
        <v>0</v>
      </c>
      <c r="G74" s="67">
        <f t="shared" si="8"/>
        <v>0</v>
      </c>
      <c r="H74" s="68">
        <f t="shared" si="11"/>
        <v>1</v>
      </c>
    </row>
    <row r="75" ht="14.25" customHeight="1">
      <c r="A75" s="62"/>
      <c r="B75" s="42"/>
      <c r="C75" s="63"/>
      <c r="D75" s="64"/>
      <c r="E75" s="63"/>
      <c r="F75" s="66"/>
      <c r="G75" s="67"/>
      <c r="H75" s="68"/>
    </row>
    <row r="76" ht="14.25" customHeight="1">
      <c r="A76" s="62"/>
      <c r="B76" s="42"/>
      <c r="C76" s="63"/>
      <c r="D76" s="64"/>
      <c r="E76" s="63"/>
      <c r="F76" s="66"/>
      <c r="G76" s="67"/>
      <c r="H76" s="68"/>
    </row>
    <row r="77" ht="14.25" customHeight="1">
      <c r="A77" s="62"/>
      <c r="B77" s="42"/>
      <c r="C77" s="63"/>
      <c r="D77" s="64"/>
      <c r="E77" s="63"/>
      <c r="F77" s="66"/>
      <c r="G77" s="67"/>
      <c r="H77" s="68"/>
    </row>
    <row r="78" ht="14.25" customHeight="1">
      <c r="A78" s="62"/>
      <c r="B78" s="42"/>
      <c r="C78" s="63"/>
      <c r="D78" s="64"/>
      <c r="E78" s="63"/>
      <c r="F78" s="66"/>
      <c r="G78" s="67"/>
      <c r="H78" s="68"/>
    </row>
    <row r="79" ht="14.25" customHeight="1">
      <c r="A79" s="62"/>
      <c r="B79" s="42"/>
      <c r="C79" s="63"/>
      <c r="D79" s="64"/>
      <c r="E79" s="63"/>
      <c r="F79" s="66"/>
      <c r="G79" s="67"/>
      <c r="H79" s="68"/>
    </row>
    <row r="80" ht="14.25" customHeight="1">
      <c r="A80" s="62"/>
      <c r="B80" s="42"/>
      <c r="C80" s="63"/>
      <c r="D80" s="64"/>
      <c r="E80" s="63"/>
      <c r="F80" s="66"/>
      <c r="G80" s="67"/>
      <c r="H80" s="68"/>
    </row>
    <row r="81" ht="14.25" customHeight="1">
      <c r="A81" s="62"/>
      <c r="B81" s="42"/>
      <c r="C81" s="63"/>
      <c r="D81" s="64"/>
      <c r="E81" s="63"/>
      <c r="F81" s="66"/>
      <c r="G81" s="67"/>
      <c r="H81" s="68"/>
    </row>
    <row r="82" ht="14.25" customHeight="1">
      <c r="A82" s="62"/>
      <c r="B82" s="42"/>
      <c r="C82" s="63"/>
      <c r="D82" s="64"/>
      <c r="E82" s="63"/>
      <c r="F82" s="66"/>
      <c r="G82" s="67"/>
      <c r="H82" s="68"/>
    </row>
    <row r="83" ht="14.25" customHeight="1">
      <c r="A83" s="62"/>
      <c r="B83" s="42"/>
      <c r="C83" s="63"/>
      <c r="D83" s="64"/>
      <c r="E83" s="63"/>
      <c r="F83" s="66"/>
      <c r="G83" s="67"/>
      <c r="H83" s="68"/>
    </row>
    <row r="84" ht="14.25" customHeight="1">
      <c r="A84" s="62"/>
      <c r="B84" s="42"/>
      <c r="C84" s="63"/>
      <c r="D84" s="64"/>
      <c r="E84" s="63"/>
      <c r="F84" s="66"/>
      <c r="G84" s="67"/>
      <c r="H84" s="68"/>
    </row>
    <row r="85" ht="14.25" customHeight="1">
      <c r="A85" s="62"/>
      <c r="B85" s="42"/>
      <c r="C85" s="63"/>
      <c r="D85" s="64"/>
      <c r="E85" s="63"/>
      <c r="F85" s="66"/>
      <c r="G85" s="67"/>
      <c r="H85" s="68"/>
    </row>
    <row r="86" ht="14.25" customHeight="1">
      <c r="A86" s="62"/>
      <c r="B86" s="42"/>
      <c r="C86" s="63"/>
      <c r="D86" s="64"/>
      <c r="E86" s="63"/>
      <c r="F86" s="66"/>
      <c r="G86" s="67"/>
      <c r="H86" s="68"/>
    </row>
    <row r="87" ht="14.25" customHeight="1">
      <c r="A87" s="62"/>
      <c r="B87" s="42"/>
      <c r="C87" s="63"/>
      <c r="D87" s="64"/>
      <c r="E87" s="63"/>
      <c r="F87" s="66"/>
      <c r="G87" s="67"/>
      <c r="H87" s="68"/>
    </row>
    <row r="88" ht="14.25" customHeight="1">
      <c r="A88" s="62"/>
      <c r="B88" s="42"/>
      <c r="C88" s="63"/>
      <c r="D88" s="64"/>
      <c r="E88" s="63"/>
      <c r="F88" s="66"/>
      <c r="G88" s="67"/>
      <c r="H88" s="68"/>
    </row>
    <row r="89" ht="14.25" customHeight="1">
      <c r="A89" s="62"/>
      <c r="B89" s="42"/>
      <c r="C89" s="63"/>
      <c r="D89" s="64"/>
      <c r="E89" s="63"/>
      <c r="F89" s="66"/>
      <c r="G89" s="67"/>
      <c r="H89" s="68"/>
    </row>
    <row r="90" ht="14.25" customHeight="1">
      <c r="A90" s="62"/>
      <c r="B90" s="42"/>
      <c r="C90" s="63"/>
      <c r="D90" s="64"/>
      <c r="E90" s="63"/>
      <c r="F90" s="66"/>
      <c r="G90" s="67"/>
      <c r="H90" s="68"/>
    </row>
    <row r="91" ht="14.25" customHeight="1">
      <c r="A91" s="62"/>
      <c r="B91" s="42"/>
      <c r="C91" s="63"/>
      <c r="D91" s="64"/>
      <c r="E91" s="63"/>
      <c r="F91" s="66"/>
      <c r="G91" s="67"/>
      <c r="H91" s="68"/>
    </row>
    <row r="92" ht="14.25" customHeight="1">
      <c r="A92" s="62"/>
      <c r="B92" s="42"/>
      <c r="C92" s="63"/>
      <c r="D92" s="64"/>
      <c r="E92" s="63"/>
      <c r="F92" s="66"/>
      <c r="G92" s="67"/>
      <c r="H92" s="68"/>
    </row>
    <row r="93" ht="14.25" customHeight="1">
      <c r="A93" s="62"/>
      <c r="B93" s="42"/>
      <c r="C93" s="63"/>
      <c r="D93" s="64"/>
      <c r="E93" s="63"/>
      <c r="F93" s="66"/>
      <c r="G93" s="67"/>
      <c r="H93" s="68"/>
    </row>
    <row r="94" ht="14.25" customHeight="1">
      <c r="A94" s="62"/>
      <c r="B94" s="42"/>
      <c r="C94" s="63"/>
      <c r="D94" s="64"/>
      <c r="E94" s="63"/>
      <c r="F94" s="66"/>
      <c r="G94" s="67"/>
      <c r="H94" s="68"/>
    </row>
    <row r="95" ht="14.25" customHeight="1">
      <c r="A95" s="62"/>
      <c r="B95" s="42"/>
      <c r="C95" s="63"/>
      <c r="D95" s="64"/>
      <c r="E95" s="63"/>
      <c r="F95" s="66"/>
      <c r="G95" s="67"/>
      <c r="H95" s="68"/>
    </row>
    <row r="96" ht="14.25" customHeight="1">
      <c r="A96" s="62"/>
      <c r="B96" s="42"/>
      <c r="C96" s="63"/>
      <c r="D96" s="64"/>
      <c r="E96" s="63"/>
      <c r="F96" s="66"/>
      <c r="G96" s="67"/>
      <c r="H96" s="68"/>
    </row>
    <row r="97" ht="14.25" customHeight="1">
      <c r="A97" s="62"/>
      <c r="B97" s="42"/>
      <c r="C97" s="63"/>
      <c r="D97" s="64"/>
      <c r="E97" s="63"/>
      <c r="F97" s="66"/>
      <c r="G97" s="67"/>
      <c r="H97" s="68"/>
    </row>
    <row r="98" ht="14.25" customHeight="1">
      <c r="A98" s="62"/>
      <c r="B98" s="42"/>
      <c r="C98" s="63"/>
      <c r="D98" s="64"/>
      <c r="E98" s="63"/>
      <c r="F98" s="66"/>
      <c r="G98" s="67"/>
      <c r="H98" s="68"/>
    </row>
    <row r="99" ht="14.25" customHeight="1">
      <c r="A99" s="62"/>
      <c r="B99" s="42"/>
      <c r="C99" s="63"/>
      <c r="D99" s="64"/>
      <c r="E99" s="63"/>
      <c r="F99" s="66"/>
      <c r="G99" s="67"/>
      <c r="H99" s="68"/>
    </row>
    <row r="100" ht="14.25" customHeight="1">
      <c r="A100" s="62"/>
      <c r="B100" s="42"/>
      <c r="C100" s="63"/>
      <c r="D100" s="64"/>
      <c r="E100" s="63"/>
      <c r="F100" s="66"/>
      <c r="G100" s="67"/>
      <c r="H100" s="68"/>
    </row>
    <row r="101" ht="14.25" customHeight="1">
      <c r="A101" s="62"/>
      <c r="B101" s="42"/>
      <c r="C101" s="63"/>
      <c r="D101" s="64"/>
      <c r="E101" s="63"/>
      <c r="F101" s="66"/>
      <c r="G101" s="67"/>
      <c r="H101" s="68"/>
    </row>
    <row r="102" ht="14.25" customHeight="1">
      <c r="A102" s="62"/>
      <c r="B102" s="42"/>
      <c r="C102" s="63"/>
      <c r="D102" s="64"/>
      <c r="E102" s="63"/>
      <c r="F102" s="66"/>
      <c r="G102" s="67"/>
      <c r="H102" s="68"/>
    </row>
    <row r="103" ht="14.25" customHeight="1">
      <c r="A103" s="62"/>
      <c r="B103" s="42"/>
      <c r="C103" s="63"/>
      <c r="D103" s="64"/>
      <c r="E103" s="63"/>
      <c r="F103" s="66"/>
      <c r="G103" s="67"/>
      <c r="H103" s="68"/>
    </row>
    <row r="104" ht="14.25" customHeight="1">
      <c r="A104" s="62"/>
      <c r="B104" s="42"/>
      <c r="C104" s="63"/>
      <c r="D104" s="64"/>
      <c r="E104" s="63"/>
      <c r="F104" s="66"/>
      <c r="G104" s="67"/>
      <c r="H104" s="68"/>
    </row>
    <row r="105" ht="14.25" customHeight="1">
      <c r="A105" s="62"/>
      <c r="B105" s="42"/>
      <c r="C105" s="63"/>
      <c r="D105" s="64"/>
      <c r="E105" s="63"/>
      <c r="F105" s="66"/>
      <c r="G105" s="67"/>
      <c r="H105" s="68"/>
    </row>
    <row r="106" ht="14.25" customHeight="1">
      <c r="A106" s="62"/>
      <c r="B106" s="42"/>
      <c r="C106" s="63"/>
      <c r="D106" s="64"/>
      <c r="E106" s="63"/>
      <c r="F106" s="66"/>
      <c r="G106" s="67"/>
      <c r="H106" s="68"/>
    </row>
    <row r="107" ht="14.25" customHeight="1">
      <c r="A107" s="62"/>
      <c r="B107" s="42"/>
      <c r="C107" s="63"/>
      <c r="D107" s="64"/>
      <c r="E107" s="63"/>
      <c r="F107" s="66"/>
      <c r="G107" s="67"/>
      <c r="H107" s="68"/>
    </row>
    <row r="108" ht="14.25" customHeight="1">
      <c r="A108" s="62"/>
      <c r="B108" s="42"/>
      <c r="C108" s="63"/>
      <c r="D108" s="64"/>
      <c r="E108" s="63"/>
      <c r="F108" s="66"/>
      <c r="G108" s="67"/>
      <c r="H108" s="68"/>
    </row>
    <row r="109" ht="14.25" customHeight="1">
      <c r="A109" s="62"/>
      <c r="B109" s="42"/>
      <c r="C109" s="63"/>
      <c r="D109" s="64"/>
      <c r="E109" s="63"/>
      <c r="F109" s="66"/>
      <c r="G109" s="67"/>
      <c r="H109" s="68"/>
    </row>
    <row r="110" ht="14.25" customHeight="1">
      <c r="A110" s="62"/>
      <c r="B110" s="42"/>
      <c r="C110" s="63"/>
      <c r="D110" s="64"/>
      <c r="E110" s="63"/>
      <c r="F110" s="66"/>
      <c r="G110" s="67"/>
      <c r="H110" s="68"/>
    </row>
    <row r="111" ht="14.25" customHeight="1">
      <c r="A111" s="62"/>
      <c r="B111" s="42"/>
      <c r="C111" s="63"/>
      <c r="D111" s="64"/>
      <c r="E111" s="63"/>
      <c r="F111" s="66"/>
      <c r="G111" s="67"/>
      <c r="H111" s="68"/>
    </row>
    <row r="112" ht="14.25" customHeight="1">
      <c r="A112" s="62"/>
      <c r="B112" s="42"/>
      <c r="C112" s="63"/>
      <c r="D112" s="64"/>
      <c r="E112" s="63"/>
      <c r="F112" s="66"/>
      <c r="G112" s="67"/>
      <c r="H112" s="68"/>
    </row>
    <row r="113" ht="14.25" customHeight="1">
      <c r="A113" s="62"/>
      <c r="B113" s="42"/>
      <c r="C113" s="63"/>
      <c r="D113" s="64"/>
      <c r="E113" s="63"/>
      <c r="F113" s="66"/>
      <c r="G113" s="67"/>
      <c r="H113" s="68"/>
    </row>
    <row r="114" ht="14.25" customHeight="1">
      <c r="A114" s="62"/>
      <c r="B114" s="42"/>
      <c r="C114" s="63"/>
      <c r="D114" s="64"/>
      <c r="E114" s="63"/>
      <c r="F114" s="66"/>
      <c r="G114" s="67"/>
      <c r="H114" s="68"/>
    </row>
    <row r="115" ht="14.25" customHeight="1">
      <c r="A115" s="62"/>
      <c r="B115" s="42"/>
      <c r="C115" s="63"/>
      <c r="D115" s="64"/>
      <c r="E115" s="63"/>
      <c r="F115" s="66"/>
      <c r="G115" s="67"/>
      <c r="H115" s="68"/>
    </row>
    <row r="116" ht="14.25" customHeight="1">
      <c r="A116" s="62"/>
      <c r="B116" s="42"/>
      <c r="C116" s="63"/>
      <c r="D116" s="64"/>
      <c r="E116" s="63"/>
      <c r="F116" s="66"/>
      <c r="G116" s="67"/>
      <c r="H116" s="68"/>
    </row>
    <row r="117" ht="14.25" customHeight="1">
      <c r="A117" s="62"/>
      <c r="B117" s="42"/>
      <c r="C117" s="63"/>
      <c r="D117" s="64"/>
      <c r="E117" s="63"/>
      <c r="F117" s="66"/>
      <c r="G117" s="67"/>
      <c r="H117" s="68"/>
    </row>
    <row r="118" ht="14.25" customHeight="1">
      <c r="A118" s="62"/>
      <c r="B118" s="42"/>
      <c r="C118" s="63"/>
      <c r="D118" s="64"/>
      <c r="E118" s="63"/>
      <c r="F118" s="66"/>
      <c r="G118" s="67"/>
      <c r="H118" s="68"/>
    </row>
    <row r="119" ht="14.25" customHeight="1">
      <c r="A119" s="62"/>
      <c r="B119" s="42"/>
      <c r="C119" s="63"/>
      <c r="D119" s="64"/>
      <c r="E119" s="63"/>
      <c r="F119" s="66"/>
      <c r="G119" s="67"/>
      <c r="H119" s="68"/>
    </row>
    <row r="120" ht="14.25" customHeight="1">
      <c r="A120" s="62"/>
      <c r="B120" s="42"/>
      <c r="C120" s="63"/>
      <c r="D120" s="64"/>
      <c r="E120" s="63"/>
      <c r="F120" s="66"/>
      <c r="G120" s="67"/>
      <c r="H120" s="68"/>
    </row>
    <row r="121" ht="14.25" customHeight="1">
      <c r="A121" s="62"/>
      <c r="B121" s="42"/>
      <c r="C121" s="63"/>
      <c r="D121" s="64"/>
      <c r="E121" s="63"/>
      <c r="F121" s="66"/>
      <c r="G121" s="67"/>
      <c r="H121" s="68"/>
    </row>
    <row r="122" ht="14.25" customHeight="1">
      <c r="A122" s="62"/>
      <c r="B122" s="42"/>
      <c r="C122" s="63"/>
      <c r="D122" s="64"/>
      <c r="E122" s="63"/>
      <c r="F122" s="66"/>
      <c r="G122" s="67"/>
      <c r="H122" s="68"/>
    </row>
    <row r="123" ht="14.25" customHeight="1">
      <c r="A123" s="62"/>
      <c r="B123" s="42"/>
      <c r="C123" s="63"/>
      <c r="D123" s="64"/>
      <c r="E123" s="63"/>
      <c r="F123" s="66"/>
      <c r="G123" s="67"/>
      <c r="H123" s="68"/>
    </row>
    <row r="124" ht="14.25" customHeight="1">
      <c r="A124" s="62"/>
      <c r="B124" s="42"/>
      <c r="C124" s="63"/>
      <c r="D124" s="64"/>
      <c r="E124" s="63"/>
      <c r="F124" s="66"/>
      <c r="G124" s="67"/>
      <c r="H124" s="68"/>
    </row>
    <row r="125" ht="14.25" customHeight="1">
      <c r="A125" s="62"/>
      <c r="B125" s="42"/>
      <c r="C125" s="63"/>
      <c r="D125" s="64"/>
      <c r="E125" s="63"/>
      <c r="F125" s="66"/>
      <c r="G125" s="67"/>
      <c r="H125" s="68"/>
    </row>
    <row r="126" ht="14.25" customHeight="1">
      <c r="A126" s="62"/>
      <c r="B126" s="42"/>
      <c r="C126" s="63"/>
      <c r="D126" s="64"/>
      <c r="E126" s="63"/>
      <c r="F126" s="66"/>
      <c r="G126" s="67"/>
      <c r="H126" s="68"/>
    </row>
    <row r="127" ht="14.25" customHeight="1">
      <c r="A127" s="62"/>
      <c r="B127" s="42"/>
      <c r="C127" s="63"/>
      <c r="D127" s="64"/>
      <c r="E127" s="63"/>
      <c r="F127" s="66"/>
      <c r="G127" s="67"/>
      <c r="H127" s="68"/>
    </row>
    <row r="128" ht="14.25" customHeight="1">
      <c r="A128" s="62"/>
      <c r="B128" s="42"/>
      <c r="C128" s="63"/>
      <c r="D128" s="64"/>
      <c r="E128" s="63"/>
      <c r="F128" s="66"/>
      <c r="G128" s="67"/>
      <c r="H128" s="68"/>
    </row>
    <row r="129" ht="14.25" customHeight="1">
      <c r="A129" s="62"/>
      <c r="B129" s="42"/>
      <c r="C129" s="63"/>
      <c r="D129" s="64"/>
      <c r="E129" s="63"/>
      <c r="F129" s="66"/>
      <c r="G129" s="67"/>
      <c r="H129" s="68"/>
    </row>
    <row r="130" ht="14.25" customHeight="1">
      <c r="A130" s="62"/>
      <c r="B130" s="42"/>
      <c r="C130" s="63"/>
      <c r="D130" s="64"/>
      <c r="E130" s="63"/>
      <c r="F130" s="66"/>
      <c r="G130" s="67"/>
      <c r="H130" s="68"/>
    </row>
    <row r="131" ht="14.25" customHeight="1">
      <c r="A131" s="62"/>
      <c r="B131" s="42"/>
      <c r="C131" s="63"/>
      <c r="D131" s="64"/>
      <c r="E131" s="63"/>
      <c r="F131" s="66"/>
      <c r="G131" s="67"/>
      <c r="H131" s="68"/>
    </row>
    <row r="132" ht="14.25" customHeight="1">
      <c r="A132" s="62"/>
      <c r="B132" s="42"/>
      <c r="C132" s="63"/>
      <c r="D132" s="64"/>
      <c r="E132" s="63"/>
      <c r="F132" s="66"/>
      <c r="G132" s="67"/>
      <c r="H132" s="68"/>
    </row>
    <row r="133" ht="14.25" customHeight="1">
      <c r="A133" s="62"/>
      <c r="B133" s="42"/>
      <c r="C133" s="63"/>
      <c r="D133" s="64"/>
      <c r="E133" s="63"/>
      <c r="F133" s="66"/>
      <c r="G133" s="67"/>
      <c r="H133" s="68"/>
    </row>
    <row r="134" ht="14.25" customHeight="1">
      <c r="A134" s="62"/>
      <c r="B134" s="42"/>
      <c r="C134" s="63"/>
      <c r="D134" s="64"/>
      <c r="E134" s="63"/>
      <c r="F134" s="66"/>
      <c r="G134" s="67"/>
      <c r="H134" s="68"/>
    </row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B4"/>
    <mergeCell ref="A10:B11"/>
    <mergeCell ref="A16:B17"/>
    <mergeCell ref="A19:B20"/>
    <mergeCell ref="A22:B23"/>
    <mergeCell ref="A26:B27"/>
    <mergeCell ref="D26:F26"/>
    <mergeCell ref="D27:F27"/>
  </mergeCells>
  <conditionalFormatting sqref="J9:J13">
    <cfRule type="cellIs" dxfId="0" priority="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tr">
        <f>ModelSheet=Degrau!A:Z</f>
        <v>#NAME?</v>
      </c>
    </row>
    <row r="2">
      <c r="A2" s="2" t="str">
        <f>OpenSolver_AdjNum=2</f>
        <v>#NAME?</v>
      </c>
    </row>
    <row r="3">
      <c r="A3" s="2" t="str">
        <f>OpenSolver_ChosenSolver=Google</f>
        <v>#NAME?</v>
      </c>
    </row>
    <row r="4">
      <c r="A4" s="2" t="str">
        <f>OpenSolver_FastBuild=0</f>
        <v>#NAME?</v>
      </c>
    </row>
    <row r="5">
      <c r="A5" s="2" t="str">
        <f>OpenSolver_LinearityCheck=1</f>
        <v>#NAME?</v>
      </c>
    </row>
    <row r="6">
      <c r="A6" s="2" t="str">
        <f>solver_adj=Degrau!C10:E10</f>
        <v>#NAME?</v>
      </c>
    </row>
    <row r="7">
      <c r="A7" s="2" t="str">
        <f>solver_adj1=Degrau!D11:E11</f>
        <v>#NAME?</v>
      </c>
    </row>
    <row r="8">
      <c r="A8" s="2" t="str">
        <f>solver_lhs1=Degrau!C10:E10</f>
        <v>#NAME?</v>
      </c>
    </row>
    <row r="9">
      <c r="A9" s="2" t="str">
        <f>solver_lhs10=Degrau!J9</f>
        <v>#NAME?</v>
      </c>
    </row>
    <row r="10">
      <c r="A10" s="2" t="str">
        <f>solver_lhs2=Degrau!D11:E11</f>
        <v>#NAME?</v>
      </c>
    </row>
    <row r="11">
      <c r="A11" s="2" t="str">
        <f>solver_lhs3=Degrau!D11:E11</f>
        <v>#NAME?</v>
      </c>
    </row>
    <row r="12">
      <c r="A12" s="2" t="str">
        <f>solver_lhs4=Degrau!C10:E10</f>
        <v>#NAME?</v>
      </c>
    </row>
    <row r="13">
      <c r="A13" s="2" t="str">
        <f>solver_lhs5=Degrau!I27</f>
        <v>#NAME?</v>
      </c>
    </row>
    <row r="14">
      <c r="A14" s="2" t="str">
        <f>solver_lhs6=Degrau!J10</f>
        <v>#NAME?</v>
      </c>
    </row>
    <row r="15">
      <c r="A15" s="2" t="str">
        <f>solver_lhs7=Degrau!J11</f>
        <v>#NAME?</v>
      </c>
    </row>
    <row r="16">
      <c r="A16" s="2" t="str">
        <f>solver_lhs8=Degrau!J12</f>
        <v>#NAME?</v>
      </c>
    </row>
    <row r="17">
      <c r="A17" s="2" t="str">
        <f>solver_lhs9=Degrau!J13</f>
        <v>#NAME?</v>
      </c>
    </row>
    <row r="18">
      <c r="A18" s="2" t="str">
        <f>solver_neg=1</f>
        <v>#NAME?</v>
      </c>
    </row>
    <row r="19">
      <c r="A19" s="2" t="str">
        <f>solver_num=10</f>
        <v>#NAME?</v>
      </c>
    </row>
    <row r="20">
      <c r="A20" s="2" t="str">
        <f>solver_opt=Degrau!C26</f>
        <v>#NAME?</v>
      </c>
    </row>
    <row r="21">
      <c r="A21" s="2" t="str">
        <f>solver_rel1=1</f>
        <v>#NAME?</v>
      </c>
    </row>
    <row r="22">
      <c r="A22" s="2" t="str">
        <f>solver_rel10=3</f>
        <v>#NAME?</v>
      </c>
    </row>
    <row r="23">
      <c r="A23" s="2" t="str">
        <f>solver_rel2=3</f>
        <v>#NAME?</v>
      </c>
    </row>
    <row r="24">
      <c r="A24" s="2" t="str">
        <f>solver_rel3=1</f>
        <v>#NAME?</v>
      </c>
    </row>
    <row r="25">
      <c r="A25" s="2" t="str">
        <f>solver_rel4=3</f>
        <v>#NAME?</v>
      </c>
    </row>
    <row r="26">
      <c r="A26" s="2" t="str">
        <f>solver_rel5=1</f>
        <v>#NAME?</v>
      </c>
    </row>
    <row r="27">
      <c r="A27" s="2" t="str">
        <f>solver_rel6=3</f>
        <v>#NAME?</v>
      </c>
    </row>
    <row r="28">
      <c r="A28" s="2" t="str">
        <f>solver_rel7=3</f>
        <v>#NAME?</v>
      </c>
    </row>
    <row r="29">
      <c r="A29" s="2" t="str">
        <f>solver_rel8=3</f>
        <v>#NAME?</v>
      </c>
    </row>
    <row r="30">
      <c r="A30" s="2" t="str">
        <f>solver_rel9=3</f>
        <v>#NAME?</v>
      </c>
    </row>
    <row r="31">
      <c r="A31" s="2" t="str">
        <f>solver_rhs1=Degrau!G27</f>
        <v>#NAME?</v>
      </c>
    </row>
    <row r="32">
      <c r="A32" s="2" t="str">
        <f>solver_rhs10=Degrau!L1</f>
        <v>#NAME?</v>
      </c>
    </row>
    <row r="33">
      <c r="A33" s="2" t="str">
        <f>solver_rhs2=Degrau!K16</f>
        <v>#NAME?</v>
      </c>
    </row>
    <row r="34">
      <c r="A34" s="2" t="str">
        <f>solver_rhs3=Degrau!G27</f>
        <v>#NAME?</v>
      </c>
    </row>
    <row r="35">
      <c r="A35" s="2" t="str">
        <f>solver_rhs4=Degrau!K16</f>
        <v>#NAME?</v>
      </c>
    </row>
    <row r="36">
      <c r="A36" s="2" t="str">
        <f>solver_rhs5=Degrau!I26</f>
        <v>#NAME?</v>
      </c>
    </row>
    <row r="37">
      <c r="A37" s="2" t="str">
        <f>solver_rhs6=Degrau!L1</f>
        <v>#NAME?</v>
      </c>
    </row>
    <row r="38">
      <c r="A38" s="2" t="str">
        <f>solver_rhs7=Degrau!L1</f>
        <v>#NAME?</v>
      </c>
    </row>
    <row r="39">
      <c r="A39" s="2" t="str">
        <f>solver_rhs8=Degrau!L1</f>
        <v>#NAME?</v>
      </c>
    </row>
    <row r="40">
      <c r="A40" s="2" t="str">
        <f>solver_rhs9=Degrau!L1</f>
        <v>#NAME?</v>
      </c>
    </row>
    <row r="41">
      <c r="A41" s="2" t="str">
        <f>solver_sho=1</f>
        <v>#NAME?</v>
      </c>
    </row>
    <row r="42">
      <c r="A42" s="2" t="str">
        <f>solver_typ=2</f>
        <v>#NAME?</v>
      </c>
    </row>
    <row r="43">
      <c r="A43" s="2" t="str">
        <f>solver_val=0</f>
        <v>#NAME?</v>
      </c>
    </row>
  </sheetData>
  <drawing r:id="rId1"/>
</worksheet>
</file>